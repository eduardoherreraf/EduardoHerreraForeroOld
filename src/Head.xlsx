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264" tabRatio="692" activeTab="3"/>
  </bookViews>
  <sheets>
    <sheet name="index" sheetId="5" r:id="rId1"/>
    <sheet name="&lt;head&gt; Indice" sheetId="37" r:id="rId2"/>
    <sheet name="&lt;!--  Principal  --&gt; Indice" sheetId="38" r:id="rId3"/>
    <sheet name="&lt;head&gt;" sheetId="7" r:id="rId4"/>
    <sheet name="&lt;!--  Principal  --&gt;" sheetId="35" r:id="rId5"/>
    <sheet name="&lt;h3&gt;" sheetId="14" r:id="rId6"/>
    <sheet name="&lt;ul&gt;" sheetId="11" r:id="rId7"/>
    <sheet name="sitemap.xml" sheetId="12" r:id="rId8"/>
    <sheet name="script" sheetId="8" r:id="rId9"/>
    <sheet name="Plantillas" sheetId="15" r:id="rId10"/>
  </sheets>
  <definedNames>
    <definedName name="Comillas">#REF!</definedName>
    <definedName name="titulo">#REF!</definedName>
    <definedName name="li">#REF!</definedName>
    <definedName name="lis">#REF!</definedName>
    <definedName name="liss">#REF!</definedName>
    <definedName name="Comilla">'&lt;h3&gt;'!$F$1</definedName>
    <definedName name="comillasimple">#REF!</definedName>
    <definedName name="puntCcoma">#REF!</definedName>
    <definedName name="simple">#REF!</definedName>
    <definedName name="Comillas" localSheetId="4">'&lt;!--  Principal  --&gt;'!$G$1</definedName>
    <definedName name="li" localSheetId="4">'&lt;!--  Principal  --&gt;'!$H$1</definedName>
    <definedName name="lis" localSheetId="4">'&lt;!--  Principal  --&gt;'!$H$1</definedName>
    <definedName name="liss" localSheetId="4">'&lt;!--  Principal  --&gt;'!$H$1</definedName>
    <definedName name="comillasimple" localSheetId="4">'&lt;!--  Principal  --&gt;'!$A$18</definedName>
    <definedName name="puntCcoma" localSheetId="4">'&lt;!--  Principal  --&gt;'!$A$19</definedName>
    <definedName name="simple" localSheetId="4">'&lt;!--  Principal  --&gt;'!#REF!</definedName>
    <definedName name="Comillas" localSheetId="2">'&lt;!--  Principal  --&gt; Indice'!$G$1</definedName>
    <definedName name="li" localSheetId="2">'&lt;!--  Principal  --&gt; Indice'!$H$1</definedName>
    <definedName name="lis" localSheetId="2">'&lt;!--  Principal  --&gt; Indice'!$H$1</definedName>
    <definedName name="liss" localSheetId="2">'&lt;!--  Principal  --&gt; Indice'!$H$1</definedName>
    <definedName name="comillasimple" localSheetId="2">'&lt;!--  Principal  --&gt; Indice'!$A$18</definedName>
    <definedName name="puntCcoma" localSheetId="2">'&lt;!--  Principal  --&gt; Indice'!$A$19</definedName>
    <definedName name="simple" localSheetId="2">'&lt;!--  Principal  --&gt; Indice'!#REF!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PC</author>
  </authors>
  <commentList>
    <comment ref="B70" authorId="0">
      <text>
        <r>
          <rPr>
            <b/>
            <sz val="9"/>
            <rFont val="Times New Roman"/>
            <charset val="0"/>
          </rPr>
          <t>PC:</t>
        </r>
        <r>
          <rPr>
            <sz val="9"/>
            <rFont val="Times New Roman"/>
            <charset val="0"/>
          </rPr>
          <t xml:space="preserve">
Generae de nuev9o la verificación de Google</t>
        </r>
      </text>
    </comment>
  </commentList>
</comments>
</file>

<file path=xl/comments2.xml><?xml version="1.0" encoding="utf-8"?>
<comments xmlns="http://schemas.openxmlformats.org/spreadsheetml/2006/main">
  <authors>
    <author>PC</author>
  </authors>
  <commentList>
    <comment ref="A73" authorId="0">
      <text>
        <r>
          <rPr>
            <b/>
            <sz val="9"/>
            <rFont val="Times New Roman"/>
            <charset val="0"/>
          </rPr>
          <t>PC:</t>
        </r>
        <r>
          <rPr>
            <sz val="9"/>
            <rFont val="Times New Roman"/>
            <charset val="0"/>
          </rPr>
          <t xml:space="preserve">
Generae de nuev9o la verificación de Google</t>
        </r>
      </text>
    </comment>
  </commentList>
</comments>
</file>

<file path=xl/sharedStrings.xml><?xml version="1.0" encoding="utf-8"?>
<sst xmlns="http://schemas.openxmlformats.org/spreadsheetml/2006/main" count="2645" uniqueCount="411">
  <si>
    <t>Título</t>
  </si>
  <si>
    <t>Ing. Eduardo Herrera Forero.</t>
  </si>
  <si>
    <t xml:space="preserve"> </t>
  </si>
  <si>
    <t>Canonical</t>
  </si>
  <si>
    <t>https://eduardoherreraf.github.io/bootstrap.html</t>
  </si>
  <si>
    <t>Descripción</t>
  </si>
  <si>
    <t>Esta es la Página Web del ingeniero Eduardo Herrera Forero y sus publicaciones.</t>
  </si>
  <si>
    <t>&lt;head&gt;</t>
  </si>
  <si>
    <t>&lt;!-- Metaetiquetas --&gt;</t>
  </si>
  <si>
    <t>&lt;meta charset="utf-8" /&gt;</t>
  </si>
  <si>
    <t>&lt;meta name="viewport" content="width=device-width, initial-scale=1" /&gt;</t>
  </si>
  <si>
    <t>&lt;meta name="description" content="Instalación de Bootstrap V5.3 con NPM y VITE  - Ing. Eduardo Herrera Forero." /&gt;</t>
  </si>
  <si>
    <t>&lt;meta name="description" content="</t>
  </si>
  <si>
    <t>" /&gt;</t>
  </si>
  <si>
    <t>&lt;meta name="author" content="Ing. Eduardo Herrera Forero" /&gt;</t>
  </si>
  <si>
    <t>&lt;meta name="application-name" content="EHF" /&gt;</t>
  </si>
  <si>
    <t>&lt;meta name="robots" content="index, follow" /&gt;</t>
  </si>
  <si>
    <t>&lt;link rel="canonical" href="https://eduardoherreraf.github.io/instalacion_de_bootstrap_v53_con_npm_y_vite.html" /&gt;</t>
  </si>
  <si>
    <t>&lt;link rel="canonical" href="</t>
  </si>
  <si>
    <t>&lt;!-- Fin Metaetiquetas --&gt;</t>
  </si>
  <si>
    <t xml:space="preserve">   </t>
  </si>
  <si>
    <t>&lt;!-- Open Graph data --&gt;</t>
  </si>
  <si>
    <t>&lt;meta property="og:type" content="website" /&gt;</t>
  </si>
  <si>
    <t>&lt;meta property="og:title" content="Instalación de Bootstrap V5.3 con NPM y VITE  - Ing. Eduardo Herrera Forero." /&gt;</t>
  </si>
  <si>
    <t>&lt;meta property="og:title" content="</t>
  </si>
  <si>
    <t>&lt;meta property="og:description" content="Se muestra el proceso de configurar una plantilla HTML con la librería de Bootstrap v5 con el manejador de  paquetes NPM y VITE." /&gt;</t>
  </si>
  <si>
    <t>&lt;meta property="og:description" content="</t>
  </si>
  <si>
    <t>&lt;meta property="og:image" content="https://i.imgur.com/JKbKYrO.png" /&gt;</t>
  </si>
  <si>
    <t>&lt;meta property="og:image:alt" content="Logo del ingeniero Eduardo Herrera Forero"/&gt;</t>
  </si>
  <si>
    <t>&lt;meta property="og:url" content="https://eduardoherreraf.github.io/instalacion_de_bootstrap_v53_con_npm_y_vite.html" /&gt;</t>
  </si>
  <si>
    <t>&lt;meta property="og:url" content="</t>
  </si>
  <si>
    <t>&lt;meta property="og:locale" content="es_CO" /&gt;</t>
  </si>
  <si>
    <t>&lt;!-- fin Open Graph data --&gt;</t>
  </si>
  <si>
    <t xml:space="preserve">  </t>
  </si>
  <si>
    <t>&lt;!-- Twitter cards --&gt;</t>
  </si>
  <si>
    <t>&lt;meta name="twitter:card" content="summary" /&gt;</t>
  </si>
  <si>
    <t>&lt;meta name="twitter:site" content="@ehfeduardo" /&gt;</t>
  </si>
  <si>
    <t>&lt;meta name="twitter:title" content="Instalación de Bootstrap V5.3 con NPM y VITE  - Ing. Eduardo Herrera Forero." /&gt;</t>
  </si>
  <si>
    <t>&lt;meta name="twitter:title" content="</t>
  </si>
  <si>
    <t>&lt;meta name="twitter:description" content="Se muestra el proceso de configurar una plantilla HTML con la librería de Bootstrap v5 con el manejador de  paquetes NPM y VITE." /&gt;</t>
  </si>
  <si>
    <t>&lt;meta name="twitter:description" content="</t>
  </si>
  <si>
    <t>&lt;meta name="twitter:image" content="https://i.imgur.com/JKbKYrO.png" /&gt;</t>
  </si>
  <si>
    <t>&lt;meta name="twitter:image:alt" content="Logo del ingeniero Eduardo Herrera Forero"&gt;</t>
  </si>
  <si>
    <t>&lt;!-- Fin Twitter cards --&gt;</t>
  </si>
  <si>
    <t>&lt;!-- iconos --&gt;</t>
  </si>
  <si>
    <t>&lt;link rel="apple-touch-icon" sizes="180x180" href="apple-touch-icon.png" /&gt;</t>
  </si>
  <si>
    <t>&lt;link rel="icon" type="image/png" sizes="32x32" href="favicon-32x32.png" /&gt;</t>
  </si>
  <si>
    <t>&lt;link rel="icon" type="image/png" sizes="192x192" href="android-chrome-192x192.png"/&gt;</t>
  </si>
  <si>
    <t>&lt;link rel="icon" type="image/png" sizes="16x16" href="favicon-16x16.png" /&gt;</t>
  </si>
  <si>
    <t>&lt;link rel="manifest" href="site.webmanifest" /&gt;</t>
  </si>
  <si>
    <t>&lt;link rel="mask-icon" href="safari-pinned-tab.svg" color="#5bbad5" /&gt;</t>
  </si>
  <si>
    <t>&lt;meta name="msapplication-TileColor" content="#da532c" /&gt;</t>
  </si>
  <si>
    <t>&lt;meta name="theme-color" content="#ffffff" /&gt;</t>
  </si>
  <si>
    <t>&lt;!-- fin iconos --&gt;</t>
  </si>
  <si>
    <t>&lt;title&gt;</t>
  </si>
  <si>
    <t>Instalación de Bootstrap V5.3 con NPM y VITE - Ing. Eduardo Herrera Forero.</t>
  </si>
  <si>
    <t>&lt;/title&gt;</t>
  </si>
  <si>
    <t>&lt;script type="module" defer src="./js/main.js"&gt;&lt;/script&gt;</t>
  </si>
  <si>
    <t>&lt;meta name="google-site-verification" content="2H5ZMCD1_xl7oxaiqnopfdQBnIXVIOfmW0UBSa5sQJc"/&gt;</t>
  </si>
  <si>
    <t>&lt;/head&gt;</t>
  </si>
  <si>
    <t>&lt;meta name="title" content="" /&gt;</t>
  </si>
  <si>
    <t>Índice de Claude AI</t>
  </si>
  <si>
    <t>&lt;meta name="description" content="" /&gt;</t>
  </si>
  <si>
    <t>Índice completo de la documentación sobre Claude AI: guías, funciones y productos de Anthropic explicados paso a paso</t>
  </si>
  <si>
    <t>&lt;meta name="keywords" content="" /&gt;</t>
  </si>
  <si>
    <t>Claude AI, Anthropic, Claude Artifacts, Claude Code, Claude Projects, inteligencia artificial, documentación Claude, guías Claude</t>
  </si>
  <si>
    <t/>
  </si>
  <si>
    <t>&lt;meta property="og:image:alt" content=""/&gt;</t>
  </si>
  <si>
    <t>Portada del índice de la documentación de Claude AI, con fondo blanco y el logotipo de Anthropic</t>
  </si>
  <si>
    <t>Imagen de OG</t>
  </si>
  <si>
    <t>https://i.ibb.co/GYsmZ4X/claude-og.png</t>
  </si>
  <si>
    <t>1200 × 630 px</t>
  </si>
  <si>
    <t>&lt;meta name="twitter:image:alt" content=""&gt;</t>
  </si>
  <si>
    <t>Vista previa del índice de Claude AI para compartir en redes sociales, fondo blanco</t>
  </si>
  <si>
    <t>Imagen de Twitter cards</t>
  </si>
  <si>
    <t>https://i.ibb.co/Zp2GMWtF/claude-twitter-summary.png</t>
  </si>
  <si>
    <t>1000 × 1000 px</t>
  </si>
  <si>
    <t>&lt;!-- imagen --&gt;</t>
  </si>
  <si>
    <t>&lt;img alt=""&gt;</t>
  </si>
  <si>
    <t>Índice de la documentación de Claude AI con enlaces a cada guía de producto</t>
  </si>
  <si>
    <t>&lt;img title=""&gt;</t>
  </si>
  <si>
    <t>&lt;figcaption&gt;</t>
  </si>
  <si>
    <t>Índice general de la serie de guías sobre Claude AI y sus productos</t>
  </si>
  <si>
    <t>Canonical URL</t>
  </si>
  <si>
    <t>claude-ai.html</t>
  </si>
  <si>
    <t>Imagen</t>
  </si>
  <si>
    <t>Mi estrea argéada</t>
  </si>
  <si>
    <t>https://i.imgur.com/JKbKYrO.png</t>
  </si>
  <si>
    <t>&lt;meta name="title" content="</t>
  </si>
  <si>
    <t>&lt;meta name="keywords" content="</t>
  </si>
  <si>
    <t>&lt;meta property="og:image" content="</t>
  </si>
  <si>
    <t>&lt;meta property="og:image:alt" content="</t>
  </si>
  <si>
    <t>"/&gt;</t>
  </si>
  <si>
    <t xml:space="preserve">&lt;meta name="twitter:card" content="summary" /&gt; </t>
  </si>
  <si>
    <t>&lt;meta name="twitter:image" content="</t>
  </si>
  <si>
    <t>&lt;meta name="twitter:image:alt" content="</t>
  </si>
  <si>
    <t>"&gt;</t>
  </si>
  <si>
    <t>&lt;meta name="twitter:url" content="</t>
  </si>
  <si>
    <t>Comillas</t>
  </si>
  <si>
    <t>&lt;div class="container-fluid"</t>
  </si>
  <si>
    <t>"</t>
  </si>
  <si>
    <t>&lt;div class="menu-item"&gt;</t>
  </si>
  <si>
    <t>&lt;figcaption class="img-caption"&gt;</t>
  </si>
  <si>
    <t>&lt;!--  Principal  --&gt;</t>
  </si>
  <si>
    <t>&lt;main class="row"&gt;</t>
  </si>
  <si>
    <t>&lt;section class="pb-3 pt-5 col-lg-9 px-lg-4"&gt;</t>
  </si>
  <si>
    <t>&lt;article class="row border-1 border-bottom pb-3" data-bs-spy="scroll" data-bs-target="#list-example" data-bs-smooth-scroll="true"&gt;</t>
  </si>
  <si>
    <t>&lt;h1&gt;</t>
  </si>
  <si>
    <t>class="mt-3"&gt;</t>
  </si>
  <si>
    <t>&lt;div class="centrar-imagen magen-intro mb-5"&gt;</t>
  </si>
  <si>
    <t>&lt;figure class="img-container"&gt;</t>
  </si>
  <si>
    <t>imagen  1</t>
  </si>
  <si>
    <t>class="img-fluid"</t>
  </si>
  <si>
    <t>loading="lazy"</t>
  </si>
  <si>
    <t>figcaption</t>
  </si>
  <si>
    <t>&lt;/figcaption&gt;</t>
  </si>
  <si>
    <t>&lt;/figure&gt;</t>
  </si>
  <si>
    <t>&lt;/div&gt;</t>
  </si>
  <si>
    <t>&lt;hr class="subtle-divider" /&gt;</t>
  </si>
  <si>
    <t>&lt;/article&gt;</t>
  </si>
  <si>
    <t>&lt;article class="row" id="comments"&gt;</t>
  </si>
  <si>
    <t>&lt;h2&gt;COMENTARIOS&lt;/h2&gt;</t>
  </si>
  <si>
    <t>&lt;p&gt;Si tiene alguna inquietud, duda o ha encontrado algún error, porfavor infórmelo a través del formulario disponible para estepropósito.&lt;/p&gt;</t>
  </si>
  <si>
    <t>&lt;div class="d-flex justify-content-center"&gt;</t>
  </si>
  <si>
    <t>&lt;form action="https://formspree.io/f/mdkdawkg" method="POST" id="myForm"&gt;</t>
  </si>
  <si>
    <t>&lt;fieldset class="d-flex flex-column gap-3"&gt;</t>
  </si>
  <si>
    <t>&lt;legend class="text-center fs-4"&gt;Deje su comentario&lt;/legend&gt;</t>
  </si>
  <si>
    <t>&lt;div class="d-flex flex-column"&gt;</t>
  </si>
  <si>
    <t>&lt;label for="name"&gt;Nombre:&lt;/label&gt;</t>
  </si>
  <si>
    <t>&lt;input type="text" name="name" id="name" placeholder="User" class="form-control rounded" required /&gt;</t>
  </si>
  <si>
    <t>&lt;label for="email"&gt;Email:&lt;/label&gt;</t>
  </si>
  <si>
    <t>&lt;input type="email" name="email" id="email" placeholder="user@mail.com" class="form-control rounded"required /&gt;</t>
  </si>
  <si>
    <t>&lt;label for="message"&gt;Mensaje:&lt;/label&gt;</t>
  </si>
  <si>
    <t>&lt;textarea name="message" id="message" cols="30" rows="5" placeholder="Su comentario..."</t>
  </si>
  <si>
    <t>class="form-control rounded-3" required&gt;&lt;/textarea&gt;</t>
  </si>
  <si>
    <t>&lt;button type="submit" class="btn btn-outline-light my-3 border rounded-pill border-2"&gt;Enviar&lt;/button&gt;</t>
  </si>
  <si>
    <t>&lt;/fieldset&gt;</t>
  </si>
  <si>
    <t>&lt;p class="small text-center"&gt;La política de privacidad, y los términos y condiciones estándisponibles en el formulario de contacto.&lt;/p&gt;</t>
  </si>
  <si>
    <t>&lt;/form&gt;</t>
  </si>
  <si>
    <t xml:space="preserve">        &lt;!-- Comentarios fin --&gt;</t>
  </si>
  <si>
    <t>&lt;/section&gt;</t>
  </si>
  <si>
    <t>&lt;/main&gt;</t>
  </si>
  <si>
    <t>&lt;!--  Principal Fin  --&gt;</t>
  </si>
  <si>
    <t>Claude: Introducción</t>
  </si>
  <si>
    <t>Contenido introductorio sobre Claude, el asistente de inteligencia artificial desarrollado por Anthropic</t>
  </si>
  <si>
    <t>Claude, inteligencia artificial, IA, Anthropic, introducción a Claude, chatbot, asistente virtual</t>
  </si>
  <si>
    <t>https://res.cloudinary.com/u0xebdyd/image/upload/v1788813438/claude-og.png</t>
  </si>
  <si>
    <t>1200*630</t>
  </si>
  <si>
    <t>https://res.cloudinary.com/u0xebdyd/image/upload/v1788813170/claude-twitter-summary.png</t>
  </si>
  <si>
    <t>Logotipo de Claude, asistente de inteligencia artificial</t>
  </si>
  <si>
    <t>Claude - Introducción a la inteligencia artificial de Anthropic</t>
  </si>
  <si>
    <t>Claude, el asistente de inteligencia artificial desarrollado por Anthropic</t>
  </si>
  <si>
    <t>claude-ai-0101_claude_introduccion.html</t>
  </si>
  <si>
    <t>&lt;meta property="og:type" content="article" /&gt;</t>
  </si>
  <si>
    <t>tamaño max 150 caracteres</t>
  </si>
  <si>
    <t xml:space="preserve">&lt;meta property="og:image:width" content="1200" /&gt; </t>
  </si>
  <si>
    <t>&lt;meta property="og:image:height" content="630" /&gt;</t>
  </si>
  <si>
    <t>&lt;meta property="og:site_name" content="Ing. Eduardo Herrera Forero" /&gt;</t>
  </si>
  <si>
    <t xml:space="preserve">&lt;meta name="twitter:site" content="@ehfeduardo" /&gt; </t>
  </si>
  <si>
    <t>&lt;meta name="twitterimage:alt" content="</t>
  </si>
  <si>
    <t>&lt;meta name="twitter:creator" content="@ehfeduardo" /&gt;</t>
  </si>
  <si>
    <t>imagen  2</t>
  </si>
  <si>
    <t>asd y df</t>
  </si>
  <si>
    <t>Características de Claude Cowork</t>
  </si>
  <si>
    <t>Beneficios de Trabajar en Claude Cowork</t>
  </si>
  <si>
    <t>Filosofía de Claude Cowork</t>
  </si>
  <si>
    <t>Impacto en la Comunidad Profesional</t>
  </si>
  <si>
    <t>Conclusión</t>
  </si>
  <si>
    <t>&lt;!-- -------------------------------- barra lateral -------------------------------- --&gt;</t>
  </si>
  <si>
    <t>&lt;aside class="col-lg-3 d-none d-lg-block"&gt;</t>
  </si>
  <si>
    <t>&lt;div class="menu-item"&gt;&lt;details&gt;&lt;summary&gt;</t>
  </si>
  <si>
    <t>&lt;h2&gt;En Este Artículo&lt;/h2&gt;</t>
  </si>
  <si>
    <t>&lt;div class="menu-scroll"&gt;</t>
  </si>
  <si>
    <t>&lt;/summary&gt;&lt;div class="submenu"&gt;&lt;/div&gt;&lt;/details&gt;&lt;/div&gt;</t>
  </si>
  <si>
    <t>&lt;div class="menu-container"&gt;</t>
  </si>
  <si>
    <t>&lt;div class="border border-1"&gt;</t>
  </si>
  <si>
    <t>class="simple-link"</t>
  </si>
  <si>
    <t>&lt;!-- Comentarios  --&gt;</t>
  </si>
  <si>
    <t>&lt;a href="#comments" class="simple-link"&gt;Comentarios&lt;/a&gt;</t>
  </si>
  <si>
    <t>&lt;/aside&gt;</t>
  </si>
  <si>
    <t>&lt;!-- -------------------------------- fin barra lateral -------------------------------- --&gt;</t>
  </si>
  <si>
    <t>h3</t>
  </si>
  <si>
    <t>h5</t>
  </si>
  <si>
    <t>h6</t>
  </si>
  <si>
    <t>Características Principales de Dataframes</t>
  </si>
  <si>
    <t xml:space="preserve">Título 1 </t>
  </si>
  <si>
    <t>id</t>
  </si>
  <si>
    <r>
      <rPr>
        <sz val="11"/>
        <color theme="1"/>
        <rFont val="Aptos Narrow"/>
        <charset val="134"/>
        <scheme val="minor"/>
      </rPr>
      <t>&lt;</t>
    </r>
    <r>
      <rPr>
        <sz val="10.5"/>
        <color rgb="FF569CD6"/>
        <rFont val="Consolas"/>
        <charset val="134"/>
      </rPr>
      <t>div</t>
    </r>
    <r>
      <rPr>
        <sz val="10.5"/>
        <color rgb="FFCCCCCC"/>
        <rFont val="Consolas"/>
        <charset val="134"/>
      </rPr>
      <t xml:space="preserve"> </t>
    </r>
  </si>
  <si>
    <t>&gt;</t>
  </si>
  <si>
    <t>content</t>
  </si>
  <si>
    <t>Ejemplo Básico</t>
  </si>
  <si>
    <t>Acceder a los datos</t>
  </si>
  <si>
    <t>Operaciones Comunes</t>
  </si>
  <si>
    <t>Filtrado de Datos</t>
  </si>
  <si>
    <t>Instalación de la Biblioteca Pandas</t>
  </si>
  <si>
    <t>Importación de Datos con Python</t>
  </si>
  <si>
    <t>Filtrado Descriptivo</t>
  </si>
  <si>
    <t>Exportación de Datos con Python</t>
  </si>
  <si>
    <t>Archivos CSV</t>
  </si>
  <si>
    <t>Estructura Básica</t>
  </si>
  <si>
    <t>Importación de Archivos CSV</t>
  </si>
  <si>
    <t>Archivos Excel</t>
  </si>
  <si>
    <t>Características Principales</t>
  </si>
  <si>
    <t>Importación de Archivos Excel</t>
  </si>
  <si>
    <t>Requisitos Previos para Importar Documetos Excel</t>
  </si>
  <si>
    <t>Uso en Python con Pandas</t>
  </si>
  <si>
    <t>Importación de Otras Fuentes</t>
  </si>
  <si>
    <t>Cargar un Archivo Excel</t>
  </si>
  <si>
    <t>Ventajas</t>
  </si>
  <si>
    <t>df.head(n)</t>
  </si>
  <si>
    <t>Especificar una Hoja (sheet)</t>
  </si>
  <si>
    <t>Desventajas</t>
  </si>
  <si>
    <t>df.tail(n)</t>
  </si>
  <si>
    <t>Parámetros Utiles en read_excel()</t>
  </si>
  <si>
    <t>df.info()</t>
  </si>
  <si>
    <t>Verificar los Datos Importados</t>
  </si>
  <si>
    <t>df.describe()</t>
  </si>
  <si>
    <t>Archivos de Texto Plano (.txt)</t>
  </si>
  <si>
    <t>df.shape()</t>
  </si>
  <si>
    <t>Archivos JSON (JavaScript Object Notation)</t>
  </si>
  <si>
    <t>Bases de Datos SQL</t>
  </si>
  <si>
    <t>Datos desde una URL o API</t>
  </si>
  <si>
    <t>Archivos Parquet (columnar data)</t>
  </si>
  <si>
    <t>&lt;li&gt;&lt;fw-bold&gt;a&lt;/fw-bold&gt;: e&lt;/li&gt;</t>
  </si>
  <si>
    <t>&lt;span class="fw-bold"&gt;</t>
  </si>
  <si>
    <t>&lt;ul&gt;</t>
  </si>
  <si>
    <t xml:space="preserve">Planificación y ejecución autónoma: al iniciar una tarea, Claude analiza la solicitud, crea un plan y divide el trabajo complejo en subtareas cuando es necesario. </t>
  </si>
  <si>
    <t xml:space="preserve">Ejecución en la nube: las tareas corren en un entorno aislado en los servidores de Anthropic, y las sesiones y archivos quedan guardados en la cuenta del usuario, por lo que el trabajo continúa aunque cierres el computador. </t>
  </si>
  <si>
    <t xml:space="preserve">Acceso controlado a archivos y red: Claude solo puede leer y escribir en las carpetas conectadas, y el acceso a red sigue la configuración de salida definida por el usuario. </t>
  </si>
  <si>
    <t xml:space="preserve">Coordinación de tareas paralelas: Claude puede coordinar varios flujos de trabajo en paralelo cuando corresponde. </t>
  </si>
  <si>
    <t xml:space="preserve">Tareas programadas: se pueden agendar tareas diarias, semanales o mensuales para que Claude las ejecute sin intervención manual. </t>
  </si>
  <si>
    <t xml:space="preserve">Memoria compartida con el chat: lo que Claude recuerda de las conversaciones de chat está disponible en Cowork, y viceversa, reduciendo la necesidad de repetir contexto. </t>
  </si>
  <si>
    <t>fin</t>
  </si>
  <si>
    <t>&lt;li&gt;q&lt;/li&gt;</t>
  </si>
  <si>
    <t>&lt;li&gt;&lt;code&gt;a&lt;/code&gt;: e&lt;/li&gt;</t>
  </si>
  <si>
    <t>&lt;code class="language-py"&gt;</t>
  </si>
  <si>
    <t>.sum(): para obtener la suma de los valores,</t>
  </si>
  <si>
    <t>.mean(): para calcular el promedio,</t>
  </si>
  <si>
    <t>.max(): y .min() para identificar valores extremos,</t>
  </si>
  <si>
    <t>.value_counts(): para contar repeticiones.</t>
  </si>
  <si>
    <t>&lt;p&gt;&lt;b&gt;Errores comunes:&lt;/b&gt; ggdgd&lt;/p&gt;</t>
  </si>
  <si>
    <t>Ejemplos:</t>
  </si>
  <si>
    <t>Salida Básica:</t>
  </si>
  <si>
    <t>&lt;p&gt;Errores comunes:&lt;/p&gt;</t>
  </si>
  <si>
    <t>Claude Cowork puede entenderse como una evolución del asistente de IA tradicional hacia una herramienta capaz de participar de forma más activa en el trabajo. No se limita a responder preguntas: puede planificar una tarea, realizar varios pasos y entregar un resultado utilizando los archivos y herramientas con los que ya trabaja el usuario.</t>
  </si>
  <si>
    <t>Una de sus principales ventajas es que permite automatizar tareas que normalmente requieren varias acciones, manteniendo al mismo tiempo la posibilidad de que una persona supervise el proceso. Además, funciones como la memoria compartida y la gestión detallada de permisos facilitan su uso dentro de equipos y organizaciones.</t>
  </si>
  <si>
    <t>En la práctica, esto significa que Claude Cowork puede ayudar a los equipos a delegar tareas repetitivas o procesos que requieren varios pasos, mientras las personas mantienen el control sobre lo que la IA puede hacer y sobre los resultados que produce.</t>
  </si>
  <si>
    <t>&lt;p&gt;&lt;code&gt;img&lt;/code&gt;: Imagen&lt;/li&gt;</t>
  </si>
  <si>
    <t>Importante: La etiqueta &lt;cite&gt; NO se usa para:</t>
  </si>
  <si>
    <t>Fecha</t>
  </si>
  <si>
    <t>2025-10-31T15:17:38-05:00</t>
  </si>
  <si>
    <t>&lt;?xml version='1.0' encoding='UTF-8'?&gt;</t>
  </si>
  <si>
    <t>&lt;urlset xmlns='https://www.sitemaps.org/schemas/sitemap/0.9' xmlns:xhtml='https://www.w3.org/1999/xhtml'&gt;</t>
  </si>
  <si>
    <t>&lt;url&gt;</t>
  </si>
  <si>
    <t>https://eduardoherreraf.github.io/</t>
  </si>
  <si>
    <t>yearly</t>
  </si>
  <si>
    <t>&lt;/url&gt;</t>
  </si>
  <si>
    <t>&lt;!-- Páginas Índice --&gt;</t>
  </si>
  <si>
    <t>bootstrap.html</t>
  </si>
  <si>
    <t>0.7</t>
  </si>
  <si>
    <t>git.html</t>
  </si>
  <si>
    <t>javascript.html</t>
  </si>
  <si>
    <t>photoshop.html</t>
  </si>
  <si>
    <t>otrosTemas.html</t>
  </si>
  <si>
    <t>cursoPython3.html</t>
  </si>
  <si>
    <t>html.html</t>
  </si>
  <si>
    <t>monthly</t>
  </si>
  <si>
    <t>chatgpt</t>
  </si>
  <si>
    <t>css</t>
  </si>
  <si>
    <t>&lt;!-- Bootstrap --&gt;</t>
  </si>
  <si>
    <t>bootstrap-instalacion_de_bootstrap_v5_con_npm_y_parcel.html</t>
  </si>
  <si>
    <t>0.6</t>
  </si>
  <si>
    <t>bootstrap-instalacion_de_bootstrap_v5_con_npm_y_vite.html</t>
  </si>
  <si>
    <t>&lt;!-- Git / Github --&gt;</t>
  </si>
  <si>
    <t>git-01_como_eliminar_el_ultimo_commit_de_git.html</t>
  </si>
  <si>
    <t>git-02_comandos_basicos_de_consola-terminal_cli_para_windows.html</t>
  </si>
  <si>
    <t>git-03_introduccion_de_git_para_windows.html</t>
  </si>
  <si>
    <t>git-04_configuracion_inicial_git.html</t>
  </si>
  <si>
    <t>git-05_reiniciar_repositorio_en_git-github.html</t>
  </si>
  <si>
    <t>git-0006_Etiquetado_en_git.html</t>
  </si>
  <si>
    <t>&lt;!-- Javascript --&gt;</t>
  </si>
  <si>
    <t>javascript-como_ejecutar_un_codigo_javascript.html</t>
  </si>
  <si>
    <t>javascript-configurar_el_entorno_de_trabajo_javascript.html</t>
  </si>
  <si>
    <t>a</t>
  </si>
  <si>
    <t>&lt;!-- Photoshop --&gt;</t>
  </si>
  <si>
    <t>photoshop-16_metadatos_y_exportacion.html</t>
  </si>
  <si>
    <t>photoshop-15_filtros_licuar.html</t>
  </si>
  <si>
    <t>photoshop-14_filtros_neurales.html</t>
  </si>
  <si>
    <t>photoshop-13_filtros.html</t>
  </si>
  <si>
    <t>photoshop-12_formas_y_capas.html</t>
  </si>
  <si>
    <t>photoshop-11_textos.html</t>
  </si>
  <si>
    <t>photoshop-10_color_y_degradados.html</t>
  </si>
  <si>
    <t>photoshop-09_uso_de_pinceles.html</t>
  </si>
  <si>
    <t>photoshop-08_agregar_y_quitar_objetos.html</t>
  </si>
  <si>
    <t>photoshop-07_herramientas_de_seleccion.html</t>
  </si>
  <si>
    <t>photoshop-06_ajuste_tono_brillo_y_saturacion.html</t>
  </si>
  <si>
    <t>photoshop-05_trabajo_con_capas.html</t>
  </si>
  <si>
    <t>photoshop-04_ajuste_lienzo_resolucion.html</t>
  </si>
  <si>
    <t>photoshop-03_compartir_y_editar_archivos.html</t>
  </si>
  <si>
    <t>photoshop-02_interfaz_y_area_de_trabajo.html</t>
  </si>
  <si>
    <t>photoshop-01_comenzando_un_proyecto.html</t>
  </si>
  <si>
    <t>&lt;!-- ChatGPT --&gt;</t>
  </si>
  <si>
    <t>chatgpt-01_como_aprender_cualquier_habilidad_facilmente_con_chatgpt.html</t>
  </si>
  <si>
    <t>&lt;!-- Otros Temas --&gt;</t>
  </si>
  <si>
    <t>otrosTemas-01_como_borrar_la_cache_y_archivos_basura_en_windows.html</t>
  </si>
  <si>
    <t>&lt;!-- Python --&gt;</t>
  </si>
  <si>
    <t>cursoPython3-0101_introduccion.html</t>
  </si>
  <si>
    <t>cursoPython3-0102_instalacion_de_python_localmente.html</t>
  </si>
  <si>
    <t>cursoPython3-0201_funcion_print.html</t>
  </si>
  <si>
    <t>cursoPython3-0202_literales.html</t>
  </si>
  <si>
    <t>cursoPython3-0203_operadores.html</t>
  </si>
  <si>
    <t>cursoPython3-0204_variables.html</t>
  </si>
  <si>
    <t>cursoPython3-0205_comentarios.html</t>
  </si>
  <si>
    <t>cursoPython3-0206_interaccion_con_el_usuario.html</t>
  </si>
  <si>
    <t>cursoPython3-0301_operadores_de_comparacion_y_logicos_en_python.html</t>
  </si>
  <si>
    <t>cursoPython3-0302_sentencia_if_de_control_de_flujo.html</t>
  </si>
  <si>
    <t>cursoPython3-0303_bucles_en_python_una_guia_completa.html</t>
  </si>
  <si>
    <t>cursoPython3-0304_operadores_logicos_y_operaciones_bit_a_bit_en_python.html</t>
  </si>
  <si>
    <t>cursoPython3-0305_listas.html</t>
  </si>
  <si>
    <t>cursoPython3-0306_ordenamiento_de_listas_metodo_burbuja.html</t>
  </si>
  <si>
    <t>cursoPython3-0307_operaciones_con_listas.html</t>
  </si>
  <si>
    <t>cursoPython3-0401_introduccion_funciones.html</t>
  </si>
  <si>
    <t>cursoPython3-0402_como_las_funciones_se_comunican_con_su_entorno.html</t>
  </si>
  <si>
    <t>cursoPython3-0403_retorno_de_valores_en_funciones.html</t>
  </si>
  <si>
    <t>cursoPython3-0404_el_alcance_de_las_variables.html</t>
  </si>
  <si>
    <t>cursoPython3-0405_tuplas_y_diccionarios.html</t>
  </si>
  <si>
    <t>cursoPython3-0501_introduccion_a_los_modulos.html</t>
  </si>
  <si>
    <t>cursoPython3-0502_importacion_de_modulos.html</t>
  </si>
  <si>
    <t>cursoPython3-0503_modulos_especializados_de_python-matematico_aleatorio_y_de_sistema.html</t>
  </si>
  <si>
    <t>cursoPython3-0504_modulos_y_paquetes.html</t>
  </si>
  <si>
    <t>cursoPython3-0505_instalador_de_paquetes-pip.html</t>
  </si>
  <si>
    <t>cursoPython3-0601_la_naturaleza_de_las_cadenas.html</t>
  </si>
  <si>
    <t>cursoPython3-0602_errores-el_pan_diario_del_programador.html</t>
  </si>
  <si>
    <t>cursoPython3-0701_los_fundamentos_de_la_poo.html</t>
  </si>
  <si>
    <t>cursoPython3-0702_comparando_paradigmas_programacion_procedimental_y_orientada_a_objetos.html</t>
  </si>
  <si>
    <t>cursoPython3-0703_poo_propiedades.html</t>
  </si>
  <si>
    <t>cursoPython3-0704_poo_metodos.html</t>
  </si>
  <si>
    <t>cursoPython3-0705_poo_herencia.html</t>
  </si>
  <si>
    <t>cursoPython3-0706_poo_excepciones.html</t>
  </si>
  <si>
    <t>cursoPython3-0801_iteradores,_generadores_y_cierres.html</t>
  </si>
  <si>
    <t>cursoPython3-0802_manejo_de_archivos.html</t>
  </si>
  <si>
    <t>cursoPython3-0803_el_modulo_os_interactuando_con_el_sistema_operativo.html</t>
  </si>
  <si>
    <t>cursoPython3-0804_modulo_datetime_funciones_para_manejo_de_la_hora_y_la_fecha.html</t>
  </si>
  <si>
    <t>cursoPython3-0805_modulo_calendar_trabajando_con_funciones_relacionadas_con_el_calendario.html</t>
  </si>
  <si>
    <t>&lt;!-- HTML --&gt;</t>
  </si>
  <si>
    <t>html-01_introduccion_html.html</t>
  </si>
  <si>
    <t>html-02_estructura_del_documento_html.html</t>
  </si>
  <si>
    <t>html-03_encabezado_html.html</t>
  </si>
  <si>
    <t>html-04_cuerpo_html.html</t>
  </si>
  <si>
    <t>html-06_Etiquetas_de_texto.html</t>
  </si>
  <si>
    <t>html-07_formato_de_texto.html</t>
  </si>
  <si>
    <t>html-08_listas.html</t>
  </si>
  <si>
    <t>html-09_tablas.html</t>
  </si>
  <si>
    <t>html-10_imagenes_y_multimedia.html</t>
  </si>
  <si>
    <t>html-11_enlaces_y_hipervinculos.html</t>
  </si>
  <si>
    <t>html-12_formularios.html</t>
  </si>
  <si>
    <t>html-13_citas_y_referencias.html</t>
  </si>
  <si>
    <t>&lt;!-- CSS --&gt;</t>
  </si>
  <si>
    <t>css-0001_introduccion_css.html</t>
  </si>
  <si>
    <t>css-0301_flexbox-introduccion.html.html</t>
  </si>
  <si>
    <t>&lt;!-- Analisis de Datos --&gt;</t>
  </si>
  <si>
    <t>analisis-de-datos-0001_introduccion_analisis_de_datos.html</t>
  </si>
  <si>
    <t>analisis-de-datos-0002_fundamento_de_python.html</t>
  </si>
  <si>
    <t>analisis-de-datos-0003_tipos_de_datos_simples_en_python.html</t>
  </si>
  <si>
    <t>analisis-de-datos-0004_estructuras_de_datos_en_Python.html</t>
  </si>
  <si>
    <t>analisis-de-datos-0005_operadores_basicos_en_python.html</t>
  </si>
  <si>
    <t>analisis-de-datos-0006_funciones_de_entrada_y_salida_en_python.html</t>
  </si>
  <si>
    <t>analisis-de-datos-0007_condicionales_en_python.html</t>
  </si>
  <si>
    <t>analisis-de-datos-0008_bucles_en_python.html</t>
  </si>
  <si>
    <t>analisis-de-datos-0009_funciones-en-pyhon.html</t>
  </si>
  <si>
    <t>analisis-de-datos-0010_pandas_una_biblioteca_poderosa_para_el_analisis_de_datos_en_python.html</t>
  </si>
  <si>
    <t>analisis-de-datos-0011_manejo-de-series-con-panda.html</t>
  </si>
  <si>
    <t>&lt;/urlset&gt;</t>
  </si>
  <si>
    <t>&lt;script&gt;let tema = localStorage.getItem("theme") || "dark";window.onload = function () {if (tema === "dark") temaOscuro();if (tema === "light") temaClaro();};const cambiarTema = () =&gt; {const temaActual = localStorage.getItem("theme") || "dark";if (temaActual === "dark") {temaClaro();} else{temaOscuro();}};const temaOscuro = () =&gt; {document.querySelector("body").setAttribute("data-bs-theme", "dark");document.querySelector("#dl-icon").setAttribute("class","btn text-center d-flex bg-body-tertiary text-light");localStorage.setItem("theme", "dark");};const temaClaro = () =&gt; {document.querySelector("body").setAttribute("data-bs-theme", "light");document.querySelector("#dl-icon").setAttribute("class", "btn text-center d-flex bg-light text-dark");localStorage.setItem("theme", "light");};&lt;/script&gt;&lt;/html&gt;</t>
  </si>
  <si>
    <t>formulas</t>
  </si>
  <si>
    <t>imagenes</t>
  </si>
  <si>
    <t>to top</t>
  </si>
  <si>
    <t>&lt;div class="text-center imagen"&gt;</t>
  </si>
  <si>
    <t xml:space="preserve">            &lt;!-- Go to top --&gt;</t>
  </si>
  <si>
    <t>&lt;pre class="line-numbers" data-src-status="loaded" tabindex="0"&gt;</t>
  </si>
  <si>
    <t>&lt;picture&gt;</t>
  </si>
  <si>
    <t xml:space="preserve">            &lt;div class="text-center mt-5"&gt;</t>
  </si>
  <si>
    <t xml:space="preserve">    &lt;code class="language-python" data-prismjs-copy="Copy"&gt;</t>
  </si>
  <si>
    <t>&lt;img</t>
  </si>
  <si>
    <t xml:space="preserve">              &lt;a href="#" id="myBtnScroll2" title="Go to top"&gt;</t>
  </si>
  <si>
    <t>src="https://i.ibb.co/6p03WyK/URL-del-repositorio-remoto-en-Git-Hub.jpg"</t>
  </si>
  <si>
    <t xml:space="preserve">                &lt;svg</t>
  </si>
  <si>
    <t xml:space="preserve">    &lt;/code&gt;</t>
  </si>
  <si>
    <t xml:space="preserve">                  xmlns="http://www.w3.org/2000/svg"</t>
  </si>
  <si>
    <t>&lt;/pre&gt;</t>
  </si>
  <si>
    <t>width="50%"</t>
  </si>
  <si>
    <t xml:space="preserve">                  width="32"</t>
  </si>
  <si>
    <t>alt="Operadores de Comparación en Python"</t>
  </si>
  <si>
    <t xml:space="preserve">                  height="32"</t>
  </si>
  <si>
    <t>title="En este artículo se explicará los seis operadores de comparación que tiene Python"</t>
  </si>
  <si>
    <t xml:space="preserve">                  fill="currentColor"</t>
  </si>
  <si>
    <t>/&gt;</t>
  </si>
  <si>
    <t xml:space="preserve">                  class="bi bi-arrow-bar-up"</t>
  </si>
  <si>
    <t>&lt;figcaption&gt;Operadores de Comparación en Python&lt;/figcaption&gt;</t>
  </si>
  <si>
    <t xml:space="preserve">                  viewBox="0 0 16 16"</t>
  </si>
  <si>
    <t>&lt;/picture&gt;</t>
  </si>
  <si>
    <t xml:space="preserve">                  style="margin-left: -2px"</t>
  </si>
  <si>
    <t xml:space="preserve">                &gt;</t>
  </si>
  <si>
    <t xml:space="preserve">                  &lt;path</t>
  </si>
  <si>
    <t xml:space="preserve">                    fill-rule="evenodd"</t>
  </si>
  <si>
    <t xml:space="preserve">                    d="M8 10a.5.5 0 0 0 .5-.5V3.707l2.146 2.147a.5.5 0 0 0 .708-.708l-3-3a.5.5 0 0 0-.708 0l-3 3a.5.5 0 1 0 .708.708L7.5 3.707V9.5a.5.5 0 0 0 .5.5m-7 2.5a.5.5 0 0 1 .5-.5h13a.5.5 0 0 1 0 1h-13a.5.5 0 0 1-.5-.5"</t>
  </si>
  <si>
    <t xml:space="preserve">                  /&gt;</t>
  </si>
  <si>
    <t xml:space="preserve">                &lt;/svg&gt;</t>
  </si>
  <si>
    <t xml:space="preserve">              &lt;/a&gt;</t>
  </si>
  <si>
    <t xml:space="preserve">            &lt;/div&gt;</t>
  </si>
  <si>
    <t xml:space="preserve">            &lt;!-- Go to top Fin--&gt;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</si>
</sst>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_ "/>
  </numFmts>
  <fonts count="48">
    <font>
      <sz val="11"/>
      <color theme="1"/>
      <name val="Aptos Narrow"/>
      <charset val="134"/>
      <scheme val="minor"/>
    </font>
    <font>
      <sz val="12"/>
      <color theme="1"/>
      <name val="Arial"/>
      <charset val="134"/>
    </font>
    <font>
      <sz val="12"/>
      <name val="Arial"/>
      <charset val="134"/>
    </font>
    <font>
      <sz val="10.5"/>
      <name val="Consolas"/>
      <charset val="134"/>
    </font>
    <font>
      <sz val="12"/>
      <name val="Verdana"/>
      <charset val="134"/>
    </font>
    <font>
      <sz val="12"/>
      <color theme="1"/>
      <name val="Verdana"/>
      <charset val="134"/>
    </font>
    <font>
      <u/>
      <sz val="12"/>
      <color rgb="FF800080"/>
      <name val="Verdana"/>
      <charset val="0"/>
    </font>
    <font>
      <sz val="11"/>
      <name val="Aptos Narrow"/>
      <charset val="134"/>
      <scheme val="minor"/>
    </font>
    <font>
      <sz val="10"/>
      <color theme="1"/>
      <name val="Arial Unicode MS"/>
      <charset val="134"/>
    </font>
    <font>
      <sz val="11"/>
      <color theme="0"/>
      <name val="Aptos Narrow"/>
      <charset val="134"/>
      <scheme val="minor"/>
    </font>
    <font>
      <sz val="10.5"/>
      <color rgb="FFCCCCCC"/>
      <name val="Consolas"/>
      <charset val="134"/>
    </font>
    <font>
      <sz val="10.5"/>
      <color rgb="FF569CD6"/>
      <name val="Consolas"/>
      <charset val="134"/>
    </font>
    <font>
      <sz val="10.5"/>
      <color rgb="FF808080"/>
      <name val="Consolas"/>
      <charset val="134"/>
    </font>
    <font>
      <sz val="12"/>
      <color theme="1"/>
      <name val="Aptos Narrow"/>
      <charset val="134"/>
      <scheme val="minor"/>
    </font>
    <font>
      <sz val="12"/>
      <color rgb="FF808080"/>
      <name val="Verdana"/>
      <charset val="134"/>
    </font>
    <font>
      <sz val="12"/>
      <name val="Consolas"/>
      <charset val="134"/>
    </font>
    <font>
      <sz val="12"/>
      <color rgb="FF808080"/>
      <name val="Consolas"/>
      <charset val="134"/>
    </font>
    <font>
      <b/>
      <sz val="12"/>
      <color theme="0"/>
      <name val="Verdana"/>
      <charset val="134"/>
    </font>
    <font>
      <u/>
      <sz val="12"/>
      <color rgb="FF800080"/>
      <name val="Aptos Narrow"/>
      <charset val="0"/>
      <scheme val="minor"/>
    </font>
    <font>
      <sz val="12"/>
      <color rgb="FF000000"/>
      <name val="Verdana"/>
      <charset val="134"/>
    </font>
    <font>
      <sz val="12"/>
      <color theme="1"/>
      <name val="Calibri"/>
      <charset val="134"/>
    </font>
    <font>
      <sz val="12"/>
      <color rgb="FFFF0000"/>
      <name val="Calibri"/>
      <charset val="134"/>
    </font>
    <font>
      <sz val="12"/>
      <name val="Calibri"/>
      <charset val="134"/>
    </font>
    <font>
      <sz val="12"/>
      <color rgb="FF000000"/>
      <name val="Calibri"/>
      <charset val="134"/>
    </font>
    <font>
      <u/>
      <sz val="11"/>
      <color rgb="FF0000FF"/>
      <name val="Aptos Narrow"/>
      <charset val="0"/>
      <scheme val="minor"/>
    </font>
    <font>
      <u/>
      <sz val="12"/>
      <color rgb="FF0000FF"/>
      <name val="Calibri"/>
      <charset val="0"/>
    </font>
    <font>
      <u/>
      <sz val="12"/>
      <color rgb="FF800080"/>
      <name val="Calibri"/>
      <charset val="0"/>
    </font>
    <font>
      <sz val="11"/>
      <color theme="1"/>
      <name val="Tahoma"/>
      <charset val="134"/>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9"/>
      <name val="Times New Roman"/>
      <charset val="0"/>
    </font>
    <font>
      <sz val="9"/>
      <name val="Times New Roman"/>
      <charset val="0"/>
    </font>
  </fonts>
  <fills count="46">
    <fill>
      <patternFill patternType="none"/>
    </fill>
    <fill>
      <patternFill patternType="gray125"/>
    </fill>
    <fill>
      <patternFill patternType="solid">
        <fgColor theme="9" tint="0.8"/>
        <bgColor indexed="64"/>
      </patternFill>
    </fill>
    <fill>
      <patternFill patternType="solid">
        <fgColor theme="7" tint="0.6"/>
        <bgColor indexed="64"/>
      </patternFill>
    </fill>
    <fill>
      <patternFill patternType="solid">
        <fgColor theme="5" tint="0.8"/>
        <bgColor indexed="64"/>
      </patternFill>
    </fill>
    <fill>
      <patternFill patternType="solid">
        <fgColor theme="3" tint="0.9"/>
        <bgColor indexed="64"/>
      </patternFill>
    </fill>
    <fill>
      <patternFill patternType="solid">
        <fgColor theme="8" tint="0.8"/>
        <bgColor indexed="64"/>
      </patternFill>
    </fill>
    <fill>
      <patternFill patternType="solid">
        <fgColor theme="7" tint="0.8"/>
        <bgColor indexed="64"/>
      </patternFill>
    </fill>
    <fill>
      <patternFill patternType="solid">
        <fgColor theme="6" tint="0.8"/>
        <bgColor indexed="64"/>
      </patternFill>
    </fill>
    <fill>
      <patternFill patternType="solid">
        <fgColor theme="4" tint="0.4"/>
        <bgColor indexed="64"/>
      </patternFill>
    </fill>
    <fill>
      <patternFill patternType="solid">
        <fgColor theme="9" tint="0.6"/>
        <bgColor indexed="64"/>
      </patternFill>
    </fill>
    <fill>
      <patternFill patternType="solid">
        <fgColor rgb="FFFFFF00"/>
        <bgColor indexed="64"/>
      </patternFill>
    </fill>
    <fill>
      <patternFill patternType="solid">
        <fgColor theme="9" tint="0.599993896298105"/>
        <bgColor indexed="64"/>
      </patternFill>
    </fill>
    <fill>
      <patternFill patternType="solid">
        <fgColor rgb="FFFDCAD5"/>
        <bgColor indexed="64"/>
      </patternFill>
    </fill>
    <fill>
      <patternFill patternType="solid">
        <fgColor rgb="FFFAF6BB"/>
        <bgColor indexed="64"/>
      </patternFill>
    </fill>
    <fill>
      <patternFill patternType="solid">
        <fgColor theme="8" tint="0.399975585192419"/>
        <bgColor indexed="64"/>
      </patternFill>
    </fill>
    <fill>
      <patternFill patternType="solid">
        <fgColor theme="3" tint="0.4999847407452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34">
    <border>
      <left/>
      <right/>
      <top/>
      <bottom/>
      <diagonal/>
    </border>
    <border>
      <left/>
      <right style="medium">
        <color auto="1"/>
      </right>
      <top/>
      <bottom/>
      <diagonal/>
    </border>
    <border>
      <left style="medium">
        <color auto="1"/>
      </left>
      <right style="medium">
        <color auto="1"/>
      </right>
      <top style="medium">
        <color auto="1"/>
      </top>
      <bottom style="medium">
        <color auto="1"/>
      </bottom>
      <diagonal/>
    </border>
    <border>
      <left style="double">
        <color auto="1"/>
      </left>
      <right/>
      <top style="double">
        <color auto="1"/>
      </top>
      <bottom/>
      <diagonal/>
    </border>
    <border>
      <left/>
      <right style="medium">
        <color auto="1"/>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medium">
        <color auto="1"/>
      </left>
      <right style="double">
        <color auto="1"/>
      </right>
      <top style="medium">
        <color auto="1"/>
      </top>
      <bottom style="medium">
        <color auto="1"/>
      </bottom>
      <diagonal/>
    </border>
    <border>
      <left style="double">
        <color auto="1"/>
      </left>
      <right/>
      <top/>
      <bottom style="double">
        <color auto="1"/>
      </bottom>
      <diagonal/>
    </border>
    <border>
      <left/>
      <right style="medium">
        <color auto="1"/>
      </right>
      <top/>
      <bottom style="double">
        <color auto="1"/>
      </bottom>
      <diagonal/>
    </border>
    <border>
      <left/>
      <right style="double">
        <color auto="1"/>
      </right>
      <top/>
      <bottom style="double">
        <color auto="1"/>
      </bottom>
      <diagonal/>
    </border>
    <border>
      <left style="medium">
        <color auto="1"/>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17" borderId="26"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27" applyNumberFormat="0" applyFill="0" applyAlignment="0" applyProtection="0">
      <alignment vertical="center"/>
    </xf>
    <xf numFmtId="0" fontId="33" fillId="0" borderId="27" applyNumberFormat="0" applyFill="0" applyAlignment="0" applyProtection="0">
      <alignment vertical="center"/>
    </xf>
    <xf numFmtId="0" fontId="34" fillId="0" borderId="28" applyNumberFormat="0" applyFill="0" applyAlignment="0" applyProtection="0">
      <alignment vertical="center"/>
    </xf>
    <xf numFmtId="0" fontId="34" fillId="0" borderId="0" applyNumberFormat="0" applyFill="0" applyBorder="0" applyAlignment="0" applyProtection="0">
      <alignment vertical="center"/>
    </xf>
    <xf numFmtId="0" fontId="35" fillId="18" borderId="29" applyNumberFormat="0" applyAlignment="0" applyProtection="0">
      <alignment vertical="center"/>
    </xf>
    <xf numFmtId="0" fontId="36" fillId="19" borderId="30" applyNumberFormat="0" applyAlignment="0" applyProtection="0">
      <alignment vertical="center"/>
    </xf>
    <xf numFmtId="0" fontId="37" fillId="19" borderId="29" applyNumberFormat="0" applyAlignment="0" applyProtection="0">
      <alignment vertical="center"/>
    </xf>
    <xf numFmtId="0" fontId="38" fillId="20" borderId="31" applyNumberFormat="0" applyAlignment="0" applyProtection="0">
      <alignment vertical="center"/>
    </xf>
    <xf numFmtId="0" fontId="39" fillId="0" borderId="32" applyNumberFormat="0" applyFill="0" applyAlignment="0" applyProtection="0">
      <alignment vertical="center"/>
    </xf>
    <xf numFmtId="0" fontId="40" fillId="0" borderId="33" applyNumberFormat="0" applyFill="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3" fillId="23" borderId="0" applyNumberFormat="0" applyBorder="0" applyAlignment="0" applyProtection="0">
      <alignment vertical="center"/>
    </xf>
    <xf numFmtId="0" fontId="44" fillId="24" borderId="0" applyNumberFormat="0" applyBorder="0" applyAlignment="0" applyProtection="0">
      <alignment vertical="center"/>
    </xf>
    <xf numFmtId="0" fontId="45" fillId="25" borderId="0" applyNumberFormat="0" applyBorder="0" applyAlignment="0" applyProtection="0">
      <alignment vertical="center"/>
    </xf>
    <xf numFmtId="0" fontId="45"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5"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5" fillId="33" borderId="0" applyNumberFormat="0" applyBorder="0" applyAlignment="0" applyProtection="0">
      <alignment vertical="center"/>
    </xf>
    <xf numFmtId="0" fontId="45" fillId="34" borderId="0" applyNumberFormat="0" applyBorder="0" applyAlignment="0" applyProtection="0">
      <alignment vertical="center"/>
    </xf>
    <xf numFmtId="0" fontId="44" fillId="35" borderId="0" applyNumberFormat="0" applyBorder="0" applyAlignment="0" applyProtection="0">
      <alignment vertical="center"/>
    </xf>
    <xf numFmtId="0" fontId="44" fillId="36" borderId="0" applyNumberFormat="0" applyBorder="0" applyAlignment="0" applyProtection="0">
      <alignment vertical="center"/>
    </xf>
    <xf numFmtId="0" fontId="45" fillId="37" borderId="0" applyNumberFormat="0" applyBorder="0" applyAlignment="0" applyProtection="0">
      <alignment vertical="center"/>
    </xf>
    <xf numFmtId="0" fontId="45" fillId="38" borderId="0" applyNumberFormat="0" applyBorder="0" applyAlignment="0" applyProtection="0">
      <alignment vertical="center"/>
    </xf>
    <xf numFmtId="0" fontId="44" fillId="39" borderId="0" applyNumberFormat="0" applyBorder="0" applyAlignment="0" applyProtection="0">
      <alignment vertical="center"/>
    </xf>
    <xf numFmtId="0" fontId="44" fillId="40" borderId="0" applyNumberFormat="0" applyBorder="0" applyAlignment="0" applyProtection="0">
      <alignment vertical="center"/>
    </xf>
    <xf numFmtId="0" fontId="45" fillId="41" borderId="0" applyNumberFormat="0" applyBorder="0" applyAlignment="0" applyProtection="0">
      <alignment vertical="center"/>
    </xf>
    <xf numFmtId="0" fontId="45" fillId="42" borderId="0" applyNumberFormat="0" applyBorder="0" applyAlignment="0" applyProtection="0">
      <alignment vertical="center"/>
    </xf>
    <xf numFmtId="0" fontId="44" fillId="15" borderId="0" applyNumberFormat="0" applyBorder="0" applyAlignment="0" applyProtection="0">
      <alignment vertical="center"/>
    </xf>
    <xf numFmtId="0" fontId="44" fillId="43" borderId="0" applyNumberFormat="0" applyBorder="0" applyAlignment="0" applyProtection="0">
      <alignment vertical="center"/>
    </xf>
    <xf numFmtId="0" fontId="45" fillId="44" borderId="0" applyNumberFormat="0" applyBorder="0" applyAlignment="0" applyProtection="0">
      <alignment vertical="center"/>
    </xf>
    <xf numFmtId="0" fontId="45" fillId="12" borderId="0" applyNumberFormat="0" applyBorder="0" applyAlignment="0" applyProtection="0">
      <alignment vertical="center"/>
    </xf>
    <xf numFmtId="0" fontId="44" fillId="45" borderId="0" applyNumberFormat="0" applyBorder="0" applyAlignment="0" applyProtection="0">
      <alignment vertical="center"/>
    </xf>
  </cellStyleXfs>
  <cellXfs count="161">
    <xf numFmtId="0" fontId="0" fillId="0" borderId="0" xfId="0"/>
    <xf numFmtId="0" fontId="1" fillId="0" borderId="0" xfId="0" applyFont="1"/>
    <xf numFmtId="0" fontId="2" fillId="0" borderId="0" xfId="0" applyFont="1" applyAlignment="1">
      <alignment wrapText="1"/>
    </xf>
    <xf numFmtId="0" fontId="1" fillId="0" borderId="0" xfId="0" applyFont="1" applyAlignment="1">
      <alignment wrapText="1"/>
    </xf>
    <xf numFmtId="0" fontId="1" fillId="0" borderId="0" xfId="0" applyFont="1" applyAlignment="1"/>
    <xf numFmtId="0" fontId="3" fillId="0" borderId="0" xfId="0" applyFont="1" applyAlignment="1"/>
    <xf numFmtId="0" fontId="4" fillId="0" borderId="0" xfId="0" applyNumberFormat="1" applyFont="1" applyAlignment="1"/>
    <xf numFmtId="0" fontId="4" fillId="0" borderId="0" xfId="0" applyNumberFormat="1" applyFont="1" applyFill="1" applyAlignment="1"/>
    <xf numFmtId="0" fontId="5" fillId="0" borderId="0" xfId="0" applyFont="1" applyAlignment="1"/>
    <xf numFmtId="0" fontId="4" fillId="2" borderId="1" xfId="0" applyNumberFormat="1" applyFont="1" applyFill="1" applyBorder="1" applyAlignment="1"/>
    <xf numFmtId="0" fontId="6" fillId="0" borderId="2" xfId="6" applyFont="1" applyFill="1" applyBorder="1" applyAlignment="1"/>
    <xf numFmtId="0" fontId="4" fillId="0" borderId="3" xfId="0" applyNumberFormat="1" applyFont="1" applyBorder="1" applyAlignment="1"/>
    <xf numFmtId="0" fontId="4" fillId="0" borderId="4" xfId="0" applyNumberFormat="1" applyFont="1" applyBorder="1" applyAlignment="1"/>
    <xf numFmtId="0" fontId="4" fillId="0" borderId="5" xfId="0" applyFont="1" applyFill="1" applyBorder="1" applyAlignment="1"/>
    <xf numFmtId="0" fontId="4" fillId="0" borderId="6" xfId="0" applyNumberFormat="1" applyFont="1" applyBorder="1" applyAlignment="1"/>
    <xf numFmtId="0" fontId="4" fillId="0" borderId="1" xfId="0" applyNumberFormat="1" applyFont="1" applyBorder="1" applyAlignment="1"/>
    <xf numFmtId="0" fontId="4" fillId="3" borderId="2" xfId="0" applyFont="1" applyFill="1" applyBorder="1" applyAlignment="1"/>
    <xf numFmtId="49" fontId="5" fillId="0" borderId="0" xfId="0" applyNumberFormat="1" applyFont="1" applyFill="1" applyAlignment="1">
      <alignment vertical="center"/>
    </xf>
    <xf numFmtId="0" fontId="4" fillId="0" borderId="7" xfId="0" applyFont="1" applyFill="1" applyBorder="1" applyAlignment="1"/>
    <xf numFmtId="0" fontId="4" fillId="0" borderId="8" xfId="0" applyFont="1" applyFill="1" applyBorder="1" applyAlignment="1"/>
    <xf numFmtId="0" fontId="4" fillId="0" borderId="9" xfId="0" applyNumberFormat="1" applyFont="1" applyBorder="1" applyAlignment="1"/>
    <xf numFmtId="0" fontId="4" fillId="0" borderId="10" xfId="0" applyNumberFormat="1" applyFont="1" applyBorder="1" applyAlignment="1"/>
    <xf numFmtId="0" fontId="4" fillId="0" borderId="11" xfId="0" applyFont="1" applyFill="1" applyBorder="1" applyAlignment="1"/>
    <xf numFmtId="0" fontId="4" fillId="4" borderId="0" xfId="0" applyNumberFormat="1" applyFont="1" applyFill="1" applyAlignment="1"/>
    <xf numFmtId="0" fontId="4" fillId="0" borderId="0" xfId="0" applyFont="1" applyFill="1" applyAlignment="1"/>
    <xf numFmtId="0" fontId="0" fillId="0" borderId="0" xfId="0" applyAlignment="1"/>
    <xf numFmtId="0" fontId="7" fillId="0" borderId="0" xfId="0" applyFont="1"/>
    <xf numFmtId="0" fontId="7" fillId="0" borderId="0" xfId="0" applyFont="1" applyAlignment="1"/>
    <xf numFmtId="0" fontId="0" fillId="5" borderId="0" xfId="0" applyFill="1" applyAlignment="1"/>
    <xf numFmtId="0" fontId="7" fillId="0" borderId="12" xfId="0" applyFont="1" applyBorder="1" applyAlignment="1"/>
    <xf numFmtId="0" fontId="7" fillId="0" borderId="0" xfId="0" applyFont="1" applyBorder="1" applyAlignment="1"/>
    <xf numFmtId="0" fontId="0" fillId="0" borderId="13" xfId="0" applyFill="1" applyBorder="1" applyAlignment="1"/>
    <xf numFmtId="0" fontId="0" fillId="0" borderId="0" xfId="0" applyFill="1" applyAlignment="1"/>
    <xf numFmtId="0" fontId="0" fillId="2" borderId="0" xfId="0" applyFill="1" applyBorder="1" applyAlignment="1"/>
    <xf numFmtId="0" fontId="0" fillId="5" borderId="0" xfId="0" applyFill="1" applyBorder="1" applyAlignment="1"/>
    <xf numFmtId="0" fontId="8" fillId="0" borderId="0" xfId="0" applyFont="1"/>
    <xf numFmtId="0" fontId="0" fillId="2" borderId="14" xfId="0" applyFill="1" applyBorder="1" applyAlignment="1"/>
    <xf numFmtId="0" fontId="8" fillId="0" borderId="0" xfId="0" applyFont="1" applyAlignment="1">
      <alignment wrapText="1"/>
    </xf>
    <xf numFmtId="0" fontId="7" fillId="0" borderId="15" xfId="0" applyFont="1" applyBorder="1" applyAlignment="1"/>
    <xf numFmtId="0" fontId="0" fillId="2" borderId="16" xfId="0" applyFill="1" applyBorder="1" applyAlignment="1"/>
    <xf numFmtId="0" fontId="9" fillId="0" borderId="0" xfId="0" applyFont="1" applyAlignment="1"/>
    <xf numFmtId="0" fontId="0" fillId="2" borderId="0" xfId="0" applyFill="1" applyAlignment="1"/>
    <xf numFmtId="0" fontId="7" fillId="0" borderId="17" xfId="0" applyFont="1" applyBorder="1" applyAlignment="1"/>
    <xf numFmtId="0" fontId="7" fillId="0" borderId="18" xfId="0" applyFont="1" applyBorder="1" applyAlignment="1"/>
    <xf numFmtId="0" fontId="7" fillId="0" borderId="19" xfId="0" applyFont="1" applyBorder="1" applyAlignment="1"/>
    <xf numFmtId="0" fontId="10" fillId="0" borderId="0" xfId="0" applyFont="1" applyAlignment="1">
      <alignment wrapText="1"/>
    </xf>
    <xf numFmtId="0" fontId="11" fillId="0" borderId="0" xfId="0" applyFont="1" applyAlignment="1">
      <alignment wrapText="1"/>
    </xf>
    <xf numFmtId="0" fontId="0" fillId="2" borderId="0" xfId="0" applyFill="1" applyBorder="1" applyAlignment="1">
      <alignment wrapText="1"/>
    </xf>
    <xf numFmtId="0" fontId="0" fillId="0" borderId="0" xfId="0" applyAlignment="1">
      <alignment horizontal="right"/>
    </xf>
    <xf numFmtId="0" fontId="0" fillId="0" borderId="15" xfId="0" applyBorder="1"/>
    <xf numFmtId="0" fontId="0" fillId="6" borderId="17" xfId="0" applyFill="1" applyBorder="1" applyAlignment="1">
      <alignment horizontal="right"/>
    </xf>
    <xf numFmtId="0" fontId="0" fillId="7" borderId="18" xfId="0" applyFill="1" applyBorder="1"/>
    <xf numFmtId="0" fontId="0" fillId="0" borderId="18" xfId="0" applyFill="1" applyBorder="1"/>
    <xf numFmtId="0" fontId="0" fillId="0" borderId="20" xfId="0" applyFill="1" applyBorder="1"/>
    <xf numFmtId="0" fontId="0" fillId="0" borderId="17" xfId="0" applyBorder="1"/>
    <xf numFmtId="0" fontId="0" fillId="0" borderId="18" xfId="0" applyBorder="1"/>
    <xf numFmtId="0" fontId="0" fillId="0" borderId="20" xfId="0" applyBorder="1"/>
    <xf numFmtId="0" fontId="0" fillId="3" borderId="18" xfId="0" applyFill="1" applyBorder="1"/>
    <xf numFmtId="0" fontId="0" fillId="0" borderId="12" xfId="0" applyBorder="1" applyAlignment="1">
      <alignment horizontal="right"/>
    </xf>
    <xf numFmtId="0" fontId="0" fillId="0" borderId="0" xfId="0" applyFill="1"/>
    <xf numFmtId="0" fontId="0" fillId="0" borderId="1" xfId="0" applyFill="1" applyBorder="1"/>
    <xf numFmtId="0" fontId="0" fillId="0" borderId="12" xfId="0" applyBorder="1"/>
    <xf numFmtId="0" fontId="0" fillId="0" borderId="0" xfId="0" applyFont="1"/>
    <xf numFmtId="0" fontId="12" fillId="0" borderId="0" xfId="0" applyFont="1"/>
    <xf numFmtId="0" fontId="0" fillId="3" borderId="0" xfId="0" applyFill="1"/>
    <xf numFmtId="0" fontId="0" fillId="0" borderId="1" xfId="0" applyBorder="1"/>
    <xf numFmtId="0" fontId="0" fillId="6" borderId="12" xfId="0" applyFill="1" applyBorder="1" applyAlignment="1">
      <alignment horizontal="right"/>
    </xf>
    <xf numFmtId="0" fontId="0" fillId="8" borderId="0" xfId="0" applyFill="1"/>
    <xf numFmtId="0" fontId="0" fillId="7" borderId="0" xfId="0" applyFill="1"/>
    <xf numFmtId="0" fontId="0" fillId="0" borderId="19" xfId="0" applyBorder="1" applyAlignment="1">
      <alignment horizontal="right"/>
    </xf>
    <xf numFmtId="0" fontId="0" fillId="0" borderId="15" xfId="0" applyFill="1" applyBorder="1"/>
    <xf numFmtId="0" fontId="0" fillId="0" borderId="21" xfId="0" applyFill="1" applyBorder="1"/>
    <xf numFmtId="0" fontId="0" fillId="0" borderId="19" xfId="0" applyBorder="1"/>
    <xf numFmtId="0" fontId="0" fillId="0" borderId="21" xfId="0" applyBorder="1"/>
    <xf numFmtId="0" fontId="0" fillId="0" borderId="17" xfId="0" applyBorder="1" applyAlignment="1">
      <alignment horizontal="right"/>
    </xf>
    <xf numFmtId="0" fontId="0" fillId="0" borderId="0" xfId="0" applyBorder="1"/>
    <xf numFmtId="0" fontId="0" fillId="0" borderId="17" xfId="0" applyBorder="1" applyAlignment="1"/>
    <xf numFmtId="0" fontId="0" fillId="0" borderId="18" xfId="0" applyBorder="1" applyAlignment="1"/>
    <xf numFmtId="0" fontId="0" fillId="3" borderId="18" xfId="0" applyFill="1" applyBorder="1" applyAlignment="1"/>
    <xf numFmtId="0" fontId="0" fillId="7" borderId="18" xfId="0" applyFill="1" applyBorder="1" applyAlignment="1"/>
    <xf numFmtId="0" fontId="0" fillId="0" borderId="20" xfId="0" applyBorder="1" applyAlignment="1"/>
    <xf numFmtId="0" fontId="4" fillId="0" borderId="0" xfId="0" applyFont="1" applyAlignment="1"/>
    <xf numFmtId="0" fontId="13" fillId="0" borderId="0" xfId="0" applyFont="1"/>
    <xf numFmtId="0" fontId="4" fillId="0" borderId="0" xfId="0" applyFont="1" applyAlignment="1">
      <alignment horizontal="right"/>
    </xf>
    <xf numFmtId="178" fontId="4" fillId="0" borderId="0" xfId="0" applyNumberFormat="1" applyFont="1" applyAlignment="1"/>
    <xf numFmtId="0" fontId="14" fillId="0" borderId="0" xfId="0" applyFont="1" applyAlignment="1"/>
    <xf numFmtId="0" fontId="4" fillId="0" borderId="12" xfId="0" applyFont="1" applyBorder="1" applyAlignment="1"/>
    <xf numFmtId="178" fontId="15" fillId="0" borderId="0" xfId="0" applyNumberFormat="1" applyFont="1" applyAlignment="1"/>
    <xf numFmtId="0" fontId="4" fillId="0" borderId="12" xfId="0" applyFont="1" applyBorder="1" applyAlignment="1">
      <alignment horizontal="right"/>
    </xf>
    <xf numFmtId="0" fontId="4" fillId="0" borderId="17" xfId="0" applyFont="1" applyBorder="1" applyAlignment="1">
      <alignment horizontal="right"/>
    </xf>
    <xf numFmtId="0" fontId="4" fillId="0" borderId="18" xfId="0" applyFont="1" applyBorder="1" applyAlignment="1"/>
    <xf numFmtId="0" fontId="4" fillId="0" borderId="20" xfId="0" applyFont="1" applyBorder="1" applyAlignment="1"/>
    <xf numFmtId="0" fontId="16" fillId="0" borderId="0" xfId="0" applyFont="1" applyAlignment="1"/>
    <xf numFmtId="0" fontId="4" fillId="0" borderId="1" xfId="0" applyFont="1" applyBorder="1" applyAlignment="1"/>
    <xf numFmtId="178" fontId="4" fillId="0" borderId="1" xfId="0" applyNumberFormat="1" applyFont="1" applyBorder="1" applyAlignment="1"/>
    <xf numFmtId="0" fontId="4" fillId="0" borderId="1" xfId="0" applyNumberFormat="1" applyFont="1" applyBorder="1" applyAlignment="1">
      <alignment wrapText="1"/>
    </xf>
    <xf numFmtId="0" fontId="17" fillId="9" borderId="22" xfId="0" applyFont="1" applyFill="1" applyBorder="1" applyAlignment="1"/>
    <xf numFmtId="0" fontId="4" fillId="10" borderId="23" xfId="0" applyFont="1" applyFill="1" applyBorder="1" applyAlignment="1"/>
    <xf numFmtId="0" fontId="4" fillId="0" borderId="0" xfId="0" applyFont="1" applyBorder="1" applyAlignment="1"/>
    <xf numFmtId="0" fontId="18" fillId="10" borderId="22" xfId="6" applyFont="1" applyFill="1" applyBorder="1" applyAlignment="1"/>
    <xf numFmtId="0" fontId="4" fillId="10" borderId="22" xfId="0" applyFont="1" applyFill="1" applyBorder="1" applyAlignment="1"/>
    <xf numFmtId="0" fontId="4" fillId="10" borderId="24" xfId="0" applyFont="1" applyFill="1" applyBorder="1" applyAlignment="1"/>
    <xf numFmtId="0" fontId="4" fillId="10" borderId="25" xfId="0" applyFont="1" applyFill="1" applyBorder="1" applyAlignment="1"/>
    <xf numFmtId="0" fontId="4" fillId="0" borderId="19" xfId="0" applyFont="1" applyBorder="1" applyAlignment="1">
      <alignment horizontal="right"/>
    </xf>
    <xf numFmtId="0" fontId="4" fillId="0" borderId="15" xfId="0" applyFont="1" applyBorder="1" applyAlignment="1"/>
    <xf numFmtId="178" fontId="4" fillId="0" borderId="21" xfId="0" applyNumberFormat="1" applyFont="1" applyBorder="1" applyAlignment="1"/>
    <xf numFmtId="0" fontId="4" fillId="0" borderId="18" xfId="0" applyFont="1" applyFill="1" applyBorder="1" applyAlignment="1"/>
    <xf numFmtId="178" fontId="4" fillId="0" borderId="20" xfId="0" applyNumberFormat="1" applyFont="1" applyBorder="1" applyAlignment="1"/>
    <xf numFmtId="0" fontId="4" fillId="4" borderId="1" xfId="0" applyFont="1" applyFill="1" applyBorder="1" applyAlignment="1"/>
    <xf numFmtId="0" fontId="4" fillId="0" borderId="2" xfId="0" applyFont="1" applyFill="1" applyBorder="1" applyAlignment="1"/>
    <xf numFmtId="178" fontId="4" fillId="11" borderId="0" xfId="0" applyNumberFormat="1" applyFont="1" applyFill="1" applyAlignment="1"/>
    <xf numFmtId="178" fontId="4" fillId="0" borderId="0" xfId="0" applyNumberFormat="1" applyFont="1" applyFill="1" applyAlignment="1"/>
    <xf numFmtId="0" fontId="4" fillId="0" borderId="0" xfId="0" applyFont="1" applyFill="1" applyAlignment="1">
      <alignment horizontal="right"/>
    </xf>
    <xf numFmtId="0" fontId="4" fillId="0" borderId="2" xfId="0" applyFont="1" applyBorder="1" applyAlignment="1">
      <alignment wrapText="1"/>
    </xf>
    <xf numFmtId="0" fontId="4" fillId="0" borderId="14" xfId="0" applyFont="1" applyBorder="1" applyAlignment="1">
      <alignment wrapText="1"/>
    </xf>
    <xf numFmtId="0" fontId="4" fillId="0" borderId="13" xfId="0" applyFont="1" applyBorder="1" applyAlignment="1"/>
    <xf numFmtId="0" fontId="4" fillId="0" borderId="14" xfId="0" applyFont="1" applyBorder="1" applyAlignment="1"/>
    <xf numFmtId="0" fontId="4" fillId="0" borderId="16" xfId="0" applyFont="1" applyBorder="1" applyAlignment="1"/>
    <xf numFmtId="0" fontId="4" fillId="0" borderId="0" xfId="0" applyFont="1" applyAlignment="1">
      <alignment horizontal="center"/>
    </xf>
    <xf numFmtId="0" fontId="19" fillId="0" borderId="0" xfId="0" applyFont="1" applyAlignment="1"/>
    <xf numFmtId="0" fontId="20" fillId="0" borderId="0" xfId="0" applyFont="1"/>
    <xf numFmtId="0" fontId="20" fillId="0" borderId="0" xfId="0" applyFont="1" applyAlignment="1"/>
    <xf numFmtId="0" fontId="20" fillId="0" borderId="0" xfId="0" applyFont="1" applyFill="1"/>
    <xf numFmtId="0" fontId="21" fillId="0" borderId="0" xfId="0" applyFont="1" applyFill="1"/>
    <xf numFmtId="0" fontId="20" fillId="0" borderId="0" xfId="0" applyFont="1" applyFill="1" applyAlignment="1"/>
    <xf numFmtId="0" fontId="20" fillId="12" borderId="0" xfId="0" applyFont="1" applyFill="1" applyAlignment="1"/>
    <xf numFmtId="0" fontId="22" fillId="0" borderId="0" xfId="0" applyFont="1" applyFill="1"/>
    <xf numFmtId="0" fontId="20" fillId="0" borderId="0" xfId="0" applyFont="1" applyFill="1" applyAlignment="1"/>
    <xf numFmtId="0" fontId="20" fillId="0" borderId="22" xfId="0" applyFont="1" applyFill="1" applyBorder="1"/>
    <xf numFmtId="0" fontId="23" fillId="0" borderId="0" xfId="0" applyNumberFormat="1" applyFont="1"/>
    <xf numFmtId="0" fontId="24" fillId="0" borderId="22" xfId="6" applyFill="1" applyBorder="1" applyAlignment="1"/>
    <xf numFmtId="0" fontId="20" fillId="0" borderId="24" xfId="0" applyFont="1" applyFill="1" applyBorder="1" applyAlignment="1"/>
    <xf numFmtId="0" fontId="20" fillId="0" borderId="25" xfId="0" applyFont="1" applyFill="1" applyBorder="1" applyAlignment="1"/>
    <xf numFmtId="0" fontId="20" fillId="0" borderId="23" xfId="0" applyFont="1" applyFill="1" applyBorder="1" applyAlignment="1"/>
    <xf numFmtId="0" fontId="25" fillId="0" borderId="0" xfId="6" applyFont="1" applyFill="1" applyAlignment="1"/>
    <xf numFmtId="0" fontId="25" fillId="0" borderId="0" xfId="6" applyFont="1" applyAlignment="1"/>
    <xf numFmtId="0" fontId="20" fillId="0" borderId="0" xfId="0" applyFont="1" applyFill="1" applyAlignment="1">
      <alignment wrapText="1"/>
    </xf>
    <xf numFmtId="0" fontId="21" fillId="0" borderId="0" xfId="0" applyFont="1" applyFill="1" applyAlignment="1"/>
    <xf numFmtId="0" fontId="20" fillId="13" borderId="0" xfId="0" applyFont="1" applyFill="1" applyAlignment="1"/>
    <xf numFmtId="178" fontId="22" fillId="0" borderId="1" xfId="0" applyNumberFormat="1" applyFont="1" applyBorder="1" applyAlignment="1"/>
    <xf numFmtId="178" fontId="22" fillId="0" borderId="0" xfId="0" applyNumberFormat="1" applyFont="1" applyAlignment="1"/>
    <xf numFmtId="0" fontId="20" fillId="12" borderId="24" xfId="0" applyFont="1" applyFill="1" applyBorder="1" applyAlignment="1"/>
    <xf numFmtId="0" fontId="20" fillId="12" borderId="23" xfId="0" applyFont="1" applyFill="1" applyBorder="1" applyAlignment="1"/>
    <xf numFmtId="0" fontId="20" fillId="14" borderId="22" xfId="0" applyFont="1" applyFill="1" applyBorder="1"/>
    <xf numFmtId="0" fontId="26" fillId="0" borderId="0" xfId="6" applyFont="1" applyAlignment="1"/>
    <xf numFmtId="0" fontId="24" fillId="14" borderId="22" xfId="6" applyFill="1" applyBorder="1" applyAlignment="1"/>
    <xf numFmtId="0" fontId="24" fillId="14" borderId="22" xfId="6" applyFill="1" applyBorder="1" applyAlignment="1">
      <alignment wrapText="1"/>
    </xf>
    <xf numFmtId="0" fontId="0" fillId="0" borderId="22" xfId="0" applyBorder="1"/>
    <xf numFmtId="0" fontId="20" fillId="0" borderId="22" xfId="0" applyFont="1" applyFill="1" applyBorder="1" applyAlignment="1"/>
    <xf numFmtId="0" fontId="20" fillId="15" borderId="2" xfId="0" applyFont="1" applyFill="1" applyBorder="1"/>
    <xf numFmtId="0" fontId="26" fillId="0" borderId="0" xfId="6" applyFont="1" applyFill="1" applyAlignment="1"/>
    <xf numFmtId="0" fontId="20" fillId="16" borderId="0" xfId="0" applyFont="1" applyFill="1"/>
    <xf numFmtId="0" fontId="20" fillId="15" borderId="0" xfId="0" applyFont="1" applyFill="1"/>
    <xf numFmtId="0" fontId="20" fillId="12" borderId="0" xfId="0" applyFont="1" applyFill="1"/>
    <xf numFmtId="0" fontId="27" fillId="0" borderId="0" xfId="0" applyFont="1"/>
    <xf numFmtId="0" fontId="27" fillId="16" borderId="0" xfId="0" applyFont="1" applyFill="1"/>
    <xf numFmtId="0" fontId="27" fillId="15" borderId="0" xfId="0" applyFont="1" applyFill="1"/>
    <xf numFmtId="0" fontId="24" fillId="0" borderId="0" xfId="6" applyAlignment="1"/>
    <xf numFmtId="0" fontId="27" fillId="12" borderId="0" xfId="0" applyFont="1" applyFill="1"/>
    <xf numFmtId="0" fontId="27" fillId="0" borderId="0" xfId="0" applyFont="1" applyFill="1"/>
    <xf numFmtId="0" fontId="27" fillId="0" borderId="0" xfId="0" applyFont="1" applyFill="1" applyAlignment="1"/>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5">
    <dxf>
      <font>
        <color rgb="FF9C0006"/>
      </font>
      <fill>
        <patternFill patternType="solid">
          <bgColor rgb="FFFFC7CE"/>
        </patternFill>
      </fill>
    </dxf>
    <dxf>
      <font>
        <color theme="0"/>
      </font>
      <fill>
        <patternFill patternType="solid">
          <bgColor rgb="FFFF0000"/>
        </patternFill>
      </fill>
    </dxf>
    <dxf>
      <fill>
        <patternFill patternType="none"/>
      </fill>
    </dxf>
    <dxf>
      <font>
        <color theme="1"/>
      </font>
      <fill>
        <patternFill patternType="solid"/>
      </fill>
      <border>
        <left style="thin">
          <color auto="1"/>
        </left>
        <right style="thin">
          <color auto="1"/>
        </right>
        <top style="thin">
          <color auto="1"/>
        </top>
        <bottom/>
      </border>
    </dxf>
    <dxf>
      <font>
        <color theme="1"/>
      </font>
      <fill>
        <patternFill patternType="solid">
          <bgColor theme="0"/>
        </patternFill>
      </fill>
      <border>
        <left style="thin">
          <color auto="1"/>
        </left>
        <right style="thin">
          <color auto="1"/>
        </right>
        <top/>
        <bottom style="thin">
          <color auto="1"/>
        </bottom>
      </border>
    </dxf>
  </dxfs>
  <tableStyles count="0" defaultTableStyle="TableStyleMedium2" defaultPivotStyle="PivotStyleLight16"/>
  <colors>
    <mruColors>
      <color rgb="00FFFFFF"/>
      <color rgb="00FAF6BB"/>
      <color rgb="00FDCAD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eduardoherreraf.github.io/bootstrap.html" TargetMode="External"/></Relationships>
</file>

<file path=xl/worksheets/_rels/sheet2.xml.rels><?xml version="1.0" encoding="UTF-8" standalone="yes"?>
<Relationships xmlns="http://schemas.openxmlformats.org/package/2006/relationships"><Relationship Id="rId6" Type="http://schemas.openxmlformats.org/officeDocument/2006/relationships/hyperlink" Target="https://i.ibb.co/GYsmZ4X/claude-og.png" TargetMode="External"/><Relationship Id="rId5" Type="http://schemas.openxmlformats.org/officeDocument/2006/relationships/hyperlink" Target="https://i.ibb.co/Zp2GMWtF/claude-twitter-summary.png" TargetMode="External"/><Relationship Id="rId4" Type="http://schemas.openxmlformats.org/officeDocument/2006/relationships/hyperlink" Target="https://i.imgur.com/JKbKYrO.png" TargetMode="External"/><Relationship Id="rId3" Type="http://schemas.openxmlformats.org/officeDocument/2006/relationships/hyperlink" Target="https://git-introduccion_de_git_para_windows.html"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hyperlink" Target="https://i.ibb.co/8nBjHMTX/cowork-settings-optimizada.jpg" TargetMode="External"/></Relationships>
</file>

<file path=xl/worksheets/_rels/sheet4.xml.rels><?xml version="1.0" encoding="UTF-8" standalone="yes"?>
<Relationships xmlns="http://schemas.openxmlformats.org/package/2006/relationships"><Relationship Id="rId5" Type="http://schemas.openxmlformats.org/officeDocument/2006/relationships/hyperlink" Target="https://res.cloudinary.com/u0xebdyd/image/upload/v1788813438/claude-og.png" TargetMode="External"/><Relationship Id="rId4" Type="http://schemas.openxmlformats.org/officeDocument/2006/relationships/hyperlink" Target="https://res.cloudinary.com/u0xebdyd/image/upload/v1788813170/claude-twitter-summary.png" TargetMode="External"/><Relationship Id="rId3" Type="http://schemas.openxmlformats.org/officeDocument/2006/relationships/hyperlink" Target="https://i.imgur.com/JKbKYrO.png" TargetMode="External"/><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hyperlink" Target="https://i.ibb.co/8nBjHMTX/cowork-settings-optimizada.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6"/>
  </sheetPr>
  <dimension ref="A1:F53"/>
  <sheetViews>
    <sheetView zoomScale="120" zoomScaleNormal="120" workbookViewId="0">
      <pane xSplit="1" ySplit="3" topLeftCell="B7" activePane="bottomRight" state="frozen"/>
      <selection/>
      <selection pane="topRight"/>
      <selection pane="bottomLeft"/>
      <selection pane="bottomRight" activeCell="B33" sqref="B33"/>
    </sheetView>
  </sheetViews>
  <sheetFormatPr defaultColWidth="11" defaultRowHeight="13.8" outlineLevelCol="5"/>
  <cols>
    <col min="1" max="1" width="0.158333333333333" style="154" customWidth="1"/>
    <col min="2" max="2" width="11" style="154"/>
    <col min="3" max="3" width="139.991666666667" style="154" customWidth="1"/>
    <col min="4" max="4" width="11" style="154"/>
    <col min="5" max="5" width="35" style="154" customWidth="1"/>
    <col min="6" max="16383" width="11" style="154"/>
    <col min="16384" max="16384" width="11" style="62"/>
  </cols>
  <sheetData>
    <row r="1" spans="1:6">
      <c r="B1" s="155" t="s">
        <v>0</v>
      </c>
      <c r="C1" t="s">
        <v>1</v>
      </c>
      <c r="D1" s="154" t="s">
        <v>2</v>
      </c>
    </row>
    <row r="2" spans="1:6">
      <c r="B2" s="156" t="s">
        <v>3</v>
      </c>
      <c r="C2" s="157" t="s">
        <v>4</v>
      </c>
      <c r="D2" s="154" t="s">
        <v>2</v>
      </c>
    </row>
    <row r="3" spans="1:6">
      <c r="B3" s="158" t="s">
        <v>5</v>
      </c>
      <c r="C3" t="s">
        <v>6</v>
      </c>
      <c r="D3" s="154" t="s">
        <v>2</v>
      </c>
    </row>
    <row r="4" ht="6" customHeight="1" spans="1:6">
      <c r="B4" s="159"/>
    </row>
    <row r="5" spans="1:6">
      <c r="A5" s="154" t="s">
        <v>7</v>
      </c>
      <c r="B5" s="160" t="str">
        <f t="shared" ref="B5:B8" si="0">A5</f>
        <v>&lt;head&gt;</v>
      </c>
      <c r="C5" s="160"/>
      <c r="D5" s="160" t="s">
        <v>2</v>
      </c>
    </row>
    <row r="6" spans="1:6">
      <c r="A6" s="154" t="s">
        <v>8</v>
      </c>
      <c r="B6" s="160" t="str">
        <f t="shared" si="0"/>
        <v>&lt;!-- Metaetiquetas --&gt;</v>
      </c>
      <c r="C6" s="160"/>
      <c r="D6" s="160" t="s">
        <v>2</v>
      </c>
    </row>
    <row r="7" spans="1:6">
      <c r="A7" s="154" t="s">
        <v>9</v>
      </c>
      <c r="B7" s="160" t="str">
        <f t="shared" si="0"/>
        <v>&lt;meta charset="utf-8" /&gt;</v>
      </c>
      <c r="C7" s="160"/>
      <c r="D7" s="160" t="s">
        <v>2</v>
      </c>
    </row>
    <row r="8" spans="1:6">
      <c r="A8" s="154" t="s">
        <v>10</v>
      </c>
      <c r="B8" s="160" t="str">
        <f t="shared" si="0"/>
        <v>&lt;meta name="viewport" content="width=device-width, initial-scale=1" /&gt;</v>
      </c>
      <c r="C8" s="160"/>
      <c r="D8" s="160" t="s">
        <v>2</v>
      </c>
    </row>
    <row r="9" spans="1:6">
      <c r="A9" s="155" t="s">
        <v>11</v>
      </c>
      <c r="B9" s="160" t="str">
        <f>CONCATENATE(E9,$C$1,F9)</f>
        <v>&lt;meta name="description" content="Ing. Eduardo Herrera Forero." /&gt;</v>
      </c>
      <c r="C9" s="160"/>
      <c r="D9" s="160" t="s">
        <v>2</v>
      </c>
      <c r="E9" s="154" t="s">
        <v>12</v>
      </c>
      <c r="F9" s="154" t="s">
        <v>13</v>
      </c>
    </row>
    <row r="10" spans="1:6">
      <c r="A10" s="154" t="s">
        <v>14</v>
      </c>
      <c r="B10" s="160" t="str">
        <f>A10</f>
        <v>&lt;meta name="author" content="Ing. Eduardo Herrera Forero" /&gt;</v>
      </c>
      <c r="C10" s="160"/>
      <c r="D10" s="160" t="s">
        <v>2</v>
      </c>
    </row>
    <row r="11" spans="1:6">
      <c r="A11" s="154" t="s">
        <v>15</v>
      </c>
      <c r="B11" s="160" t="str">
        <f>A11</f>
        <v>&lt;meta name="application-name" content="EHF" /&gt;</v>
      </c>
      <c r="C11" s="160"/>
      <c r="D11" s="160" t="s">
        <v>2</v>
      </c>
    </row>
    <row r="12" spans="1:6">
      <c r="A12" s="154" t="s">
        <v>16</v>
      </c>
      <c r="B12" s="160" t="str">
        <f>A12</f>
        <v>&lt;meta name="robots" content="index, follow" /&gt;</v>
      </c>
      <c r="C12" s="160"/>
      <c r="D12" s="160" t="s">
        <v>2</v>
      </c>
    </row>
    <row r="13" spans="1:6">
      <c r="A13" s="156" t="s">
        <v>17</v>
      </c>
      <c r="B13" s="160" t="str">
        <f>CONCATENATE(E13,$C$2,$F$9)</f>
        <v>&lt;link rel="canonical" href="https://eduardoherreraf.github.io/bootstrap.html" /&gt;</v>
      </c>
      <c r="C13" s="160"/>
      <c r="D13" s="160" t="s">
        <v>2</v>
      </c>
      <c r="E13" s="154" t="s">
        <v>18</v>
      </c>
    </row>
    <row r="14" spans="1:6">
      <c r="A14" s="154" t="s">
        <v>19</v>
      </c>
      <c r="B14" s="160" t="str">
        <f t="shared" ref="B14:B17" si="1">A14</f>
        <v>&lt;!-- Fin Metaetiquetas --&gt;</v>
      </c>
      <c r="C14" s="160"/>
      <c r="D14" s="160" t="s">
        <v>2</v>
      </c>
    </row>
    <row r="15" spans="1:6">
      <c r="B15" s="160" t="s">
        <v>20</v>
      </c>
      <c r="C15" s="160"/>
      <c r="D15" s="160" t="s">
        <v>2</v>
      </c>
    </row>
    <row r="16" spans="1:6">
      <c r="A16" s="154" t="s">
        <v>21</v>
      </c>
      <c r="B16" s="160" t="str">
        <f t="shared" si="1"/>
        <v>&lt;!-- Open Graph data --&gt;</v>
      </c>
      <c r="C16" s="160"/>
      <c r="D16" s="160" t="s">
        <v>2</v>
      </c>
    </row>
    <row r="17" spans="1:5">
      <c r="A17" s="154" t="s">
        <v>22</v>
      </c>
      <c r="B17" s="160" t="str">
        <f t="shared" si="1"/>
        <v>&lt;meta property="og:type" content="website" /&gt;</v>
      </c>
      <c r="C17" s="160"/>
      <c r="D17" s="160" t="s">
        <v>2</v>
      </c>
    </row>
    <row r="18" spans="1:5">
      <c r="A18" s="155" t="s">
        <v>23</v>
      </c>
      <c r="B18" s="160" t="str">
        <f>CONCATENATE(E18,$C$1,F9)</f>
        <v>&lt;meta property="og:title" content="Ing. Eduardo Herrera Forero." /&gt;</v>
      </c>
      <c r="C18" s="160"/>
      <c r="D18" s="160" t="s">
        <v>2</v>
      </c>
      <c r="E18" s="154" t="s">
        <v>24</v>
      </c>
    </row>
    <row r="19" spans="1:5">
      <c r="A19" s="158" t="s">
        <v>25</v>
      </c>
      <c r="B19" s="160" t="str">
        <f>CONCATENATE(E19,$C$3,$F$9)</f>
        <v>&lt;meta property="og:description" content="Esta es la Página Web del ingeniero Eduardo Herrera Forero y sus publicaciones." /&gt;</v>
      </c>
      <c r="C19" s="160"/>
      <c r="D19" s="160" t="s">
        <v>2</v>
      </c>
      <c r="E19" s="154" t="s">
        <v>26</v>
      </c>
    </row>
    <row r="20" spans="1:5">
      <c r="A20" s="154" t="s">
        <v>27</v>
      </c>
      <c r="B20" s="160" t="str">
        <f t="shared" ref="B20:B24" si="2">A20</f>
        <v>&lt;meta property="og:image" content="https://i.imgur.com/JKbKYrO.png" /&gt;</v>
      </c>
      <c r="C20" s="160"/>
      <c r="D20" s="160" t="s">
        <v>2</v>
      </c>
    </row>
    <row r="21" spans="1:5">
      <c r="A21" s="154" t="s">
        <v>28</v>
      </c>
      <c r="B21" s="160" t="str">
        <f t="shared" si="2"/>
        <v>&lt;meta property="og:image:alt" content="Logo del ingeniero Eduardo Herrera Forero"/&gt;</v>
      </c>
      <c r="C21" s="160"/>
      <c r="D21" s="160" t="s">
        <v>2</v>
      </c>
    </row>
    <row r="22" spans="1:5">
      <c r="A22" s="156" t="s">
        <v>29</v>
      </c>
      <c r="B22" s="160" t="str">
        <f>CONCATENATE(E22,$C$2,$F$9)</f>
        <v>&lt;meta property="og:url" content="https://eduardoherreraf.github.io/bootstrap.html" /&gt;</v>
      </c>
      <c r="C22" s="160"/>
      <c r="D22" s="160" t="s">
        <v>2</v>
      </c>
      <c r="E22" s="154" t="s">
        <v>30</v>
      </c>
    </row>
    <row r="23" spans="1:5">
      <c r="A23" s="154" t="s">
        <v>31</v>
      </c>
      <c r="B23" s="160" t="str">
        <f t="shared" si="2"/>
        <v>&lt;meta property="og:locale" content="es_CO" /&gt;</v>
      </c>
      <c r="C23" s="160"/>
      <c r="D23" s="160" t="s">
        <v>2</v>
      </c>
    </row>
    <row r="24" spans="1:5">
      <c r="A24" s="154" t="s">
        <v>32</v>
      </c>
      <c r="B24" s="160" t="str">
        <f t="shared" si="2"/>
        <v>&lt;!-- fin Open Graph data --&gt;</v>
      </c>
      <c r="C24" s="160"/>
      <c r="D24" s="160" t="s">
        <v>2</v>
      </c>
    </row>
    <row r="25" spans="1:5">
      <c r="B25" s="160" t="s">
        <v>33</v>
      </c>
      <c r="C25" s="160"/>
      <c r="D25" s="160" t="s">
        <v>2</v>
      </c>
    </row>
    <row r="26" spans="1:5">
      <c r="A26" s="154" t="s">
        <v>34</v>
      </c>
      <c r="B26" s="160" t="str">
        <f t="shared" ref="B26:B28" si="3">A26</f>
        <v>&lt;!-- Twitter cards --&gt;</v>
      </c>
      <c r="C26" s="160"/>
      <c r="D26" s="160" t="s">
        <v>2</v>
      </c>
    </row>
    <row r="27" spans="1:5">
      <c r="A27" s="154" t="s">
        <v>35</v>
      </c>
      <c r="B27" s="160" t="str">
        <f t="shared" si="3"/>
        <v>&lt;meta name="twitter:card" content="summary" /&gt;</v>
      </c>
      <c r="C27" s="160"/>
      <c r="D27" s="160" t="s">
        <v>2</v>
      </c>
    </row>
    <row r="28" spans="1:5">
      <c r="A28" s="154" t="s">
        <v>36</v>
      </c>
      <c r="B28" s="160" t="str">
        <f t="shared" si="3"/>
        <v>&lt;meta name="twitter:site" content="@ehfeduardo" /&gt;</v>
      </c>
      <c r="C28" s="160"/>
      <c r="D28" s="160" t="s">
        <v>2</v>
      </c>
    </row>
    <row r="29" spans="1:5">
      <c r="A29" s="155" t="s">
        <v>37</v>
      </c>
      <c r="B29" s="160" t="str">
        <f>CONCATENATE(E29,$C$1,$F$9)</f>
        <v>&lt;meta name="twitter:title" content="Ing. Eduardo Herrera Forero." /&gt;</v>
      </c>
      <c r="C29" s="160"/>
      <c r="D29" s="160" t="s">
        <v>2</v>
      </c>
      <c r="E29" s="154" t="s">
        <v>38</v>
      </c>
    </row>
    <row r="30" spans="1:5">
      <c r="A30" s="158" t="s">
        <v>39</v>
      </c>
      <c r="B30" s="160" t="str">
        <f>CONCATENATE(E30,$C$3,$F$9)</f>
        <v>&lt;meta name="twitter:description" content="Esta es la Página Web del ingeniero Eduardo Herrera Forero y sus publicaciones." /&gt;</v>
      </c>
      <c r="C30" s="160"/>
      <c r="D30" s="160" t="s">
        <v>2</v>
      </c>
      <c r="E30" s="154" t="s">
        <v>40</v>
      </c>
    </row>
    <row r="31" spans="1:5">
      <c r="A31" s="154" t="s">
        <v>41</v>
      </c>
      <c r="B31" s="160" t="str">
        <f t="shared" ref="B31:B33" si="4">A31</f>
        <v>&lt;meta name="twitter:image" content="https://i.imgur.com/JKbKYrO.png" /&gt;</v>
      </c>
      <c r="C31" s="160"/>
      <c r="D31" s="160" t="s">
        <v>2</v>
      </c>
    </row>
    <row r="32" spans="1:5">
      <c r="A32" s="154" t="s">
        <v>42</v>
      </c>
      <c r="B32" s="160" t="str">
        <f t="shared" si="4"/>
        <v>&lt;meta name="twitter:image:alt" content="Logo del ingeniero Eduardo Herrera Forero"&gt;</v>
      </c>
      <c r="C32" s="160"/>
      <c r="D32" s="160" t="s">
        <v>2</v>
      </c>
    </row>
    <row r="33" spans="1:4">
      <c r="A33" s="154" t="s">
        <v>43</v>
      </c>
      <c r="B33" s="160" t="str">
        <f t="shared" si="4"/>
        <v>&lt;!-- Fin Twitter cards --&gt;</v>
      </c>
      <c r="C33" s="160"/>
      <c r="D33" s="160" t="s">
        <v>2</v>
      </c>
    </row>
    <row r="34" spans="1:4">
      <c r="B34" s="160" t="s">
        <v>33</v>
      </c>
      <c r="C34" s="160"/>
      <c r="D34" s="160" t="s">
        <v>2</v>
      </c>
    </row>
    <row r="35" spans="1:4">
      <c r="A35" s="154" t="s">
        <v>44</v>
      </c>
      <c r="B35" s="160" t="str">
        <f t="shared" ref="B35:B44" si="5">A35</f>
        <v>&lt;!-- iconos --&gt;</v>
      </c>
      <c r="C35" s="160"/>
      <c r="D35" s="160" t="s">
        <v>2</v>
      </c>
    </row>
    <row r="36" spans="1:4">
      <c r="A36" s="154" t="s">
        <v>45</v>
      </c>
      <c r="B36" s="160" t="str">
        <f t="shared" si="5"/>
        <v>&lt;link rel="apple-touch-icon" sizes="180x180" href="apple-touch-icon.png" /&gt;</v>
      </c>
      <c r="C36" s="160"/>
      <c r="D36" s="160" t="s">
        <v>2</v>
      </c>
    </row>
    <row r="37" spans="1:4">
      <c r="A37" s="154" t="s">
        <v>46</v>
      </c>
      <c r="B37" s="160" t="str">
        <f t="shared" si="5"/>
        <v>&lt;link rel="icon" type="image/png" sizes="32x32" href="favicon-32x32.png" /&gt;</v>
      </c>
      <c r="C37" s="160"/>
      <c r="D37" s="160" t="s">
        <v>2</v>
      </c>
    </row>
    <row r="38" spans="1:4">
      <c r="A38" s="154" t="s">
        <v>47</v>
      </c>
      <c r="B38" s="160" t="str">
        <f t="shared" si="5"/>
        <v>&lt;link rel="icon" type="image/png" sizes="192x192" href="android-chrome-192x192.png"/&gt;</v>
      </c>
      <c r="C38" s="160"/>
      <c r="D38" s="160" t="s">
        <v>2</v>
      </c>
    </row>
    <row r="39" spans="1:4">
      <c r="A39" s="154" t="s">
        <v>48</v>
      </c>
      <c r="B39" s="160" t="str">
        <f t="shared" si="5"/>
        <v>&lt;link rel="icon" type="image/png" sizes="16x16" href="favicon-16x16.png" /&gt;</v>
      </c>
      <c r="C39" s="160"/>
      <c r="D39" s="160" t="s">
        <v>2</v>
      </c>
    </row>
    <row r="40" spans="1:4">
      <c r="A40" s="154" t="s">
        <v>49</v>
      </c>
      <c r="B40" s="160" t="str">
        <f t="shared" si="5"/>
        <v>&lt;link rel="manifest" href="site.webmanifest" /&gt;</v>
      </c>
      <c r="C40" s="160"/>
      <c r="D40" s="160" t="s">
        <v>2</v>
      </c>
    </row>
    <row r="41" spans="1:4">
      <c r="A41" s="154" t="s">
        <v>50</v>
      </c>
      <c r="B41" s="160" t="str">
        <f t="shared" si="5"/>
        <v>&lt;link rel="mask-icon" href="safari-pinned-tab.svg" color="#5bbad5" /&gt;</v>
      </c>
      <c r="C41" s="160"/>
      <c r="D41" s="160" t="s">
        <v>2</v>
      </c>
    </row>
    <row r="42" spans="1:4">
      <c r="A42" s="154" t="s">
        <v>51</v>
      </c>
      <c r="B42" s="160" t="str">
        <f t="shared" si="5"/>
        <v>&lt;meta name="msapplication-TileColor" content="#da532c" /&gt;</v>
      </c>
      <c r="C42" s="160"/>
      <c r="D42" s="160" t="s">
        <v>2</v>
      </c>
    </row>
    <row r="43" spans="1:4">
      <c r="A43" s="154" t="s">
        <v>52</v>
      </c>
      <c r="B43" s="160" t="str">
        <f t="shared" si="5"/>
        <v>&lt;meta name="theme-color" content="#ffffff" /&gt;</v>
      </c>
      <c r="C43" s="160"/>
      <c r="D43" s="160" t="s">
        <v>2</v>
      </c>
    </row>
    <row r="44" spans="1:4">
      <c r="A44" s="154" t="s">
        <v>53</v>
      </c>
      <c r="B44" s="160" t="str">
        <f t="shared" si="5"/>
        <v>&lt;!-- fin iconos --&gt;</v>
      </c>
      <c r="C44" s="160"/>
      <c r="D44" s="160" t="s">
        <v>2</v>
      </c>
    </row>
    <row r="45" spans="1:4">
      <c r="B45" s="160" t="s">
        <v>33</v>
      </c>
      <c r="C45" s="160"/>
      <c r="D45" s="160" t="s">
        <v>2</v>
      </c>
    </row>
    <row r="46" spans="1:4">
      <c r="A46" s="154" t="s">
        <v>54</v>
      </c>
      <c r="B46" s="160" t="str">
        <f t="shared" ref="B46:B50" si="6">A46</f>
        <v>&lt;title&gt;</v>
      </c>
      <c r="C46" s="160"/>
      <c r="D46" s="160" t="s">
        <v>2</v>
      </c>
    </row>
    <row r="47" spans="1:4">
      <c r="A47" s="155" t="s">
        <v>55</v>
      </c>
      <c r="B47" s="160" t="str">
        <f>C1</f>
        <v>Ing. Eduardo Herrera Forero.</v>
      </c>
      <c r="C47" s="160"/>
      <c r="D47" s="160" t="s">
        <v>2</v>
      </c>
    </row>
    <row r="48" spans="1:4">
      <c r="A48" s="154" t="s">
        <v>56</v>
      </c>
      <c r="B48" s="160" t="str">
        <f t="shared" si="6"/>
        <v>&lt;/title&gt;</v>
      </c>
      <c r="C48" s="160"/>
      <c r="D48" s="160" t="s">
        <v>2</v>
      </c>
    </row>
    <row r="49" spans="1:4">
      <c r="B49" s="160" t="s">
        <v>33</v>
      </c>
      <c r="C49" s="160"/>
      <c r="D49" s="160" t="s">
        <v>2</v>
      </c>
    </row>
    <row r="50" spans="1:4">
      <c r="A50" s="154" t="s">
        <v>57</v>
      </c>
      <c r="B50" s="160" t="str">
        <f t="shared" si="6"/>
        <v>&lt;script type="module" defer src="./js/main.js"&gt;&lt;/script&gt;</v>
      </c>
      <c r="C50" s="160"/>
      <c r="D50" s="160" t="s">
        <v>2</v>
      </c>
    </row>
    <row r="51" spans="1:4">
      <c r="B51" s="160" t="s">
        <v>33</v>
      </c>
      <c r="C51" s="160"/>
      <c r="D51" s="160" t="s">
        <v>2</v>
      </c>
    </row>
    <row r="52" spans="1:4">
      <c r="A52" s="154" t="s">
        <v>58</v>
      </c>
      <c r="B52" s="160" t="str">
        <f>A52</f>
        <v>&lt;meta name="google-site-verification" content="2H5ZMCD1_xl7oxaiqnopfdQBnIXVIOfmW0UBSa5sQJc"/&gt;</v>
      </c>
      <c r="C52" s="160"/>
      <c r="D52" s="160" t="s">
        <v>2</v>
      </c>
    </row>
    <row r="53" spans="1:4">
      <c r="A53" s="154" t="s">
        <v>59</v>
      </c>
      <c r="B53" s="160" t="str">
        <f>A53</f>
        <v>&lt;/head&gt;</v>
      </c>
      <c r="C53" s="160"/>
      <c r="D53" s="160" t="s">
        <v>2</v>
      </c>
    </row>
  </sheetData>
  <hyperlinks>
    <hyperlink ref="C2" r:id="rId1" display="https://eduardoherreraf.github.io/bootstrap.html"/>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8"/>
  <sheetViews>
    <sheetView zoomScale="120" zoomScaleNormal="120" workbookViewId="0">
      <selection activeCell="B33" sqref="B33"/>
    </sheetView>
  </sheetViews>
  <sheetFormatPr defaultColWidth="11" defaultRowHeight="15.6"/>
  <cols>
    <col min="1" max="1" width="1.16666666666667" style="120" customWidth="1"/>
    <col min="2" max="2" width="45.0833333333333" style="120" customWidth="1"/>
    <col min="3" max="3" width="18.5" style="120" customWidth="1"/>
    <col min="4" max="4" width="50.3333333333333" style="120" customWidth="1"/>
    <col min="5" max="5" width="35.2" style="120" customWidth="1"/>
    <col min="6" max="6" width="35" style="120" customWidth="1"/>
    <col min="7" max="16384" width="11" style="120"/>
  </cols>
  <sheetData>
    <row r="1" spans="1:5">
      <c r="B1" s="123" t="s">
        <v>8</v>
      </c>
      <c r="C1" s="122"/>
      <c r="D1" s="124"/>
    </row>
    <row r="2" ht="16.35" spans="1:5">
      <c r="B2" s="122" t="s">
        <v>60</v>
      </c>
      <c r="C2" s="125" t="s">
        <v>61</v>
      </c>
      <c r="D2" s="125" t="str">
        <f>CONCATENATE(C2," - Ing. Eduardo Herrera Forero")</f>
        <v>Índice de Claude AI - Ing. Eduardo Herrera Forero</v>
      </c>
    </row>
    <row r="3" s="121" customFormat="1" spans="1:5">
      <c r="B3" s="124" t="s">
        <v>62</v>
      </c>
      <c r="C3" s="124"/>
      <c r="D3" s="141" t="s">
        <v>63</v>
      </c>
      <c r="E3" s="121">
        <f>LEN(D3)</f>
        <v>117</v>
      </c>
    </row>
    <row r="4" s="121" customFormat="1" ht="16.35" spans="1:5">
      <c r="B4" s="124" t="s">
        <v>64</v>
      </c>
      <c r="C4" s="124"/>
      <c r="D4" s="142" t="s">
        <v>65</v>
      </c>
      <c r="E4" s="121" t="s">
        <v>66</v>
      </c>
    </row>
    <row r="5" s="122" customFormat="1" spans="1:5">
      <c r="B5" s="123" t="s">
        <v>21</v>
      </c>
      <c r="C5" s="123"/>
      <c r="D5" s="124"/>
      <c r="E5" s="122" t="s">
        <v>66</v>
      </c>
    </row>
    <row r="6" s="122" customFormat="1" spans="1:5">
      <c r="B6" s="122" t="s">
        <v>67</v>
      </c>
      <c r="D6" s="143" t="s">
        <v>68</v>
      </c>
      <c r="E6" s="122" t="s">
        <v>66</v>
      </c>
    </row>
    <row r="7" spans="1:5">
      <c r="A7" s="144"/>
      <c r="B7" s="129" t="s">
        <v>69</v>
      </c>
      <c r="C7" s="129"/>
      <c r="D7" s="145" t="s">
        <v>70</v>
      </c>
      <c r="E7" t="s">
        <v>71</v>
      </c>
    </row>
    <row r="8" spans="1:5">
      <c r="B8" s="123" t="s">
        <v>34</v>
      </c>
      <c r="C8" s="123"/>
      <c r="D8" s="124"/>
      <c r="E8" s="120" t="s">
        <v>66</v>
      </c>
    </row>
    <row r="9" spans="1:5">
      <c r="B9" s="122" t="s">
        <v>72</v>
      </c>
      <c r="C9" s="122"/>
      <c r="D9" s="143" t="s">
        <v>73</v>
      </c>
      <c r="E9" s="120" t="s">
        <v>66</v>
      </c>
    </row>
    <row r="10" spans="1:5">
      <c r="A10" s="144"/>
      <c r="B10" s="129" t="s">
        <v>74</v>
      </c>
      <c r="C10" s="129"/>
      <c r="D10" s="146" t="s">
        <v>75</v>
      </c>
      <c r="E10" t="s">
        <v>76</v>
      </c>
    </row>
    <row r="11" spans="1:5">
      <c r="B11" s="123" t="s">
        <v>77</v>
      </c>
      <c r="C11" s="123"/>
      <c r="D11" s="124"/>
      <c r="E11" s="120" t="s">
        <v>66</v>
      </c>
    </row>
    <row r="12" s="120" customFormat="1" spans="1:5">
      <c r="B12" s="124" t="s">
        <v>78</v>
      </c>
      <c r="C12" s="124"/>
      <c r="D12" s="147" t="s">
        <v>79</v>
      </c>
      <c r="E12" s="120" t="s">
        <v>66</v>
      </c>
    </row>
    <row r="13" s="121" customFormat="1" spans="1:5">
      <c r="B13" s="124" t="s">
        <v>80</v>
      </c>
      <c r="C13" s="124"/>
      <c r="D13" s="148" t="s">
        <v>61</v>
      </c>
      <c r="E13" s="121" t="s">
        <v>66</v>
      </c>
    </row>
    <row r="14" s="121" customFormat="1" spans="1:5">
      <c r="B14" s="124" t="s">
        <v>81</v>
      </c>
      <c r="C14" s="124"/>
      <c r="D14" s="148" t="s">
        <v>82</v>
      </c>
      <c r="E14" s="121" t="s">
        <v>66</v>
      </c>
    </row>
    <row r="15" s="121" customFormat="1" ht="16.35" spans="1:5">
      <c r="B15" s="124"/>
      <c r="C15" s="124"/>
      <c r="D15" s="124"/>
      <c r="E15" s="121" t="s">
        <v>66</v>
      </c>
    </row>
    <row r="16" ht="16.35" spans="1:5">
      <c r="A16" s="144" t="str">
        <f>CONCATENATE("https://eduardoherreraf.github.io/",D16)</f>
        <v>https://eduardoherreraf.github.io/claude-ai.html</v>
      </c>
      <c r="B16" s="122" t="s">
        <v>83</v>
      </c>
      <c r="C16" s="122"/>
      <c r="D16" s="149" t="s">
        <v>84</v>
      </c>
      <c r="E16" s="120" t="s">
        <v>66</v>
      </c>
    </row>
    <row r="17" s="120" customFormat="1" spans="1:7">
      <c r="A17" s="144"/>
      <c r="B17" s="122" t="s">
        <v>85</v>
      </c>
      <c r="C17" s="122"/>
      <c r="D17" s="134" t="str">
        <f>D10</f>
        <v>https://i.ibb.co/Zp2GMWtF/claude-twitter-summary.png</v>
      </c>
      <c r="E17" s="120" t="s">
        <v>86</v>
      </c>
      <c r="F17" s="135" t="s">
        <v>87</v>
      </c>
    </row>
    <row r="18" s="122" customFormat="1" spans="1:7">
      <c r="A18" s="150"/>
      <c r="C18" s="134"/>
      <c r="E18" s="134"/>
    </row>
    <row r="19" spans="1:7">
      <c r="B19" s="122"/>
      <c r="C19" s="122"/>
    </row>
    <row r="20" spans="1:7">
      <c r="A20" s="120" t="s">
        <v>7</v>
      </c>
      <c r="B20" s="124" t="str">
        <f t="shared" ref="B20:B23" si="0">A20</f>
        <v>&lt;head&gt;</v>
      </c>
      <c r="C20" s="124"/>
      <c r="D20" s="124"/>
      <c r="E20" s="124" t="s">
        <v>2</v>
      </c>
    </row>
    <row r="21" spans="1:7">
      <c r="A21" s="120" t="s">
        <v>8</v>
      </c>
      <c r="B21" s="124" t="str">
        <f t="shared" si="0"/>
        <v>&lt;!-- Metaetiquetas --&gt;</v>
      </c>
      <c r="C21" s="124"/>
      <c r="D21" s="124"/>
      <c r="E21" s="124" t="s">
        <v>2</v>
      </c>
    </row>
    <row r="22" spans="1:7">
      <c r="A22" s="120" t="s">
        <v>9</v>
      </c>
      <c r="B22" s="124" t="str">
        <f t="shared" si="0"/>
        <v>&lt;meta charset="utf-8" /&gt;</v>
      </c>
      <c r="C22" s="124"/>
      <c r="D22" s="124"/>
      <c r="E22" s="124" t="s">
        <v>2</v>
      </c>
    </row>
    <row r="23" spans="1:7">
      <c r="A23" s="120" t="s">
        <v>10</v>
      </c>
      <c r="B23" s="124" t="str">
        <f t="shared" si="0"/>
        <v>&lt;meta name="viewport" content="width=device-width, initial-scale=1" /&gt;</v>
      </c>
      <c r="C23" s="124"/>
      <c r="D23" s="124"/>
      <c r="E23" s="124" t="s">
        <v>2</v>
      </c>
    </row>
    <row r="24" spans="1:7">
      <c r="A24" s="151" t="s">
        <v>11</v>
      </c>
      <c r="B24" s="124" t="str">
        <f>CONCATENATE(F24,$D$3,G24)</f>
        <v>&lt;meta name="description" content="Índice completo de la documentación sobre Claude AI: guías, funciones y productos de Anthropic explicados paso a paso" /&gt;</v>
      </c>
      <c r="C24" s="124"/>
      <c r="D24" s="124"/>
      <c r="E24" s="124" t="s">
        <v>2</v>
      </c>
      <c r="F24" s="120" t="s">
        <v>12</v>
      </c>
      <c r="G24" s="120" t="s">
        <v>13</v>
      </c>
    </row>
    <row r="25" spans="1:7">
      <c r="A25" s="151"/>
      <c r="B25" s="124" t="str">
        <f>CONCATENATE(F25,$D$2,G25)</f>
        <v>&lt;meta name="title" content="Índice de Claude AI - Ing. Eduardo Herrera Forero" /&gt;</v>
      </c>
      <c r="C25" s="124"/>
      <c r="D25" s="124"/>
      <c r="E25" s="124" t="s">
        <v>2</v>
      </c>
      <c r="F25" s="120" t="s">
        <v>88</v>
      </c>
      <c r="G25" s="120" t="s">
        <v>13</v>
      </c>
    </row>
    <row r="26" spans="1:7">
      <c r="A26" s="151"/>
      <c r="B26" s="124" t="str">
        <f>CONCATENATE(F26,$D$4,G26)</f>
        <v>&lt;meta name="keywords" content="Claude AI, Anthropic, Claude Artifacts, Claude Code, Claude Projects, inteligencia artificial, documentación Claude, guías Claude" /&gt;</v>
      </c>
      <c r="C26" s="124"/>
      <c r="D26" s="124"/>
      <c r="E26" s="124" t="s">
        <v>2</v>
      </c>
      <c r="F26" s="120" t="s">
        <v>89</v>
      </c>
      <c r="G26" s="120" t="s">
        <v>13</v>
      </c>
    </row>
    <row r="27" spans="1:7">
      <c r="A27" s="120" t="s">
        <v>14</v>
      </c>
      <c r="B27" s="124" t="str">
        <f t="shared" ref="B27:B29" si="1">A27</f>
        <v>&lt;meta name="author" content="Ing. Eduardo Herrera Forero" /&gt;</v>
      </c>
      <c r="C27" s="124"/>
      <c r="D27" s="124"/>
      <c r="E27" s="124" t="s">
        <v>2</v>
      </c>
    </row>
    <row r="28" spans="1:7">
      <c r="A28" s="120" t="s">
        <v>15</v>
      </c>
      <c r="B28" s="124" t="str">
        <f t="shared" si="1"/>
        <v>&lt;meta name="application-name" content="EHF" /&gt;</v>
      </c>
      <c r="C28" s="124"/>
      <c r="D28" s="124"/>
      <c r="E28" s="124" t="s">
        <v>2</v>
      </c>
    </row>
    <row r="29" spans="1:7">
      <c r="A29" s="120" t="s">
        <v>16</v>
      </c>
      <c r="B29" s="124" t="str">
        <f t="shared" si="1"/>
        <v>&lt;meta name="robots" content="index, follow" /&gt;</v>
      </c>
      <c r="C29" s="124"/>
      <c r="D29" s="124"/>
      <c r="E29" s="124" t="s">
        <v>2</v>
      </c>
    </row>
    <row r="30" spans="1:7">
      <c r="A30" s="152" t="s">
        <v>17</v>
      </c>
      <c r="B30" s="124" t="str">
        <f>CONCATENATE(F30,$A$16,$G$24)</f>
        <v>&lt;link rel="canonical" href="https://eduardoherreraf.github.io/claude-ai.html" /&gt;</v>
      </c>
      <c r="C30" s="124"/>
      <c r="D30" s="124"/>
      <c r="E30" s="124" t="s">
        <v>2</v>
      </c>
      <c r="F30" s="120" t="s">
        <v>18</v>
      </c>
    </row>
    <row r="31" spans="1:7">
      <c r="A31" s="120" t="s">
        <v>19</v>
      </c>
      <c r="B31" s="124" t="str">
        <f t="shared" ref="B31:B34" si="2">A31</f>
        <v>&lt;!-- Fin Metaetiquetas --&gt;</v>
      </c>
      <c r="C31" s="124"/>
      <c r="D31" s="124"/>
      <c r="E31" s="124" t="s">
        <v>2</v>
      </c>
    </row>
    <row r="32" spans="1:7">
      <c r="B32" s="124" t="s">
        <v>20</v>
      </c>
      <c r="C32" s="124"/>
      <c r="D32" s="124"/>
      <c r="E32" s="124" t="s">
        <v>2</v>
      </c>
    </row>
    <row r="33" spans="1:7">
      <c r="A33" s="120" t="s">
        <v>21</v>
      </c>
      <c r="B33" s="124" t="str">
        <f t="shared" si="2"/>
        <v>&lt;!-- Open Graph data --&gt;</v>
      </c>
      <c r="C33" s="124"/>
      <c r="D33" s="124"/>
    </row>
    <row r="34" spans="1:7">
      <c r="A34" s="120" t="s">
        <v>22</v>
      </c>
      <c r="B34" s="124" t="str">
        <f t="shared" si="2"/>
        <v>&lt;meta property="og:type" content="website" /&gt;</v>
      </c>
      <c r="C34" s="124"/>
      <c r="D34" s="124"/>
      <c r="E34" s="124"/>
    </row>
    <row r="35" spans="1:7">
      <c r="A35" s="151" t="s">
        <v>23</v>
      </c>
      <c r="B35" s="124" t="str">
        <f>CONCATENATE(F35,$D$2,G24)</f>
        <v>&lt;meta property="og:title" content="Índice de Claude AI - Ing. Eduardo Herrera Forero" /&gt;</v>
      </c>
      <c r="C35" s="124"/>
      <c r="D35" s="124"/>
      <c r="E35" s="124"/>
      <c r="F35" s="120" t="s">
        <v>24</v>
      </c>
    </row>
    <row r="36" spans="1:7">
      <c r="A36" s="153" t="s">
        <v>25</v>
      </c>
      <c r="B36" s="124" t="str">
        <f>CONCATENATE(F36,$D$3,$G$24)</f>
        <v>&lt;meta property="og:description" content="Índice completo de la documentación sobre Claude AI: guías, funciones y productos de Anthropic explicados paso a paso" /&gt;</v>
      </c>
      <c r="C36" s="124"/>
      <c r="D36" s="124"/>
      <c r="E36" s="124"/>
      <c r="F36" s="120" t="s">
        <v>26</v>
      </c>
    </row>
    <row r="37" spans="1:7">
      <c r="A37" s="120" t="s">
        <v>90</v>
      </c>
      <c r="B37" s="120" t="str">
        <f>CONCATENATE(F37,D7,G37)</f>
        <v>&lt;meta property="og:image" content="https://i.ibb.co/GYsmZ4X/claude-og.png" /&gt;</v>
      </c>
      <c r="D37" s="124"/>
      <c r="E37" s="124"/>
      <c r="F37" s="120" t="s">
        <v>90</v>
      </c>
      <c r="G37" s="120" t="s">
        <v>13</v>
      </c>
    </row>
    <row r="38" spans="1:7">
      <c r="A38" s="120" t="s">
        <v>28</v>
      </c>
      <c r="B38" s="120" t="str">
        <f>CONCATENATE(F38,D6,G38)</f>
        <v>&lt;meta property="og:image:alt" content="Portada del índice de la documentación de Claude AI, con fondo blanco y el logotipo de Anthropic"/&gt;</v>
      </c>
      <c r="D38" s="124"/>
      <c r="E38" s="124"/>
      <c r="F38" s="120" t="s">
        <v>91</v>
      </c>
      <c r="G38" s="120" t="s">
        <v>92</v>
      </c>
    </row>
    <row r="39" spans="1:7">
      <c r="A39" s="152" t="s">
        <v>29</v>
      </c>
      <c r="B39" s="124" t="str">
        <f>CONCATENATE(F39,$A$16,$G$24)</f>
        <v>&lt;meta property="og:url" content="https://eduardoherreraf.github.io/claude-ai.html" /&gt;</v>
      </c>
      <c r="C39" s="124"/>
      <c r="D39" s="124"/>
      <c r="E39" s="124"/>
      <c r="F39" s="120" t="s">
        <v>30</v>
      </c>
    </row>
    <row r="40" spans="1:7">
      <c r="A40" s="120" t="s">
        <v>31</v>
      </c>
      <c r="B40" s="124" t="str">
        <f t="shared" ref="B40:B43" si="3">A40</f>
        <v>&lt;meta property="og:locale" content="es_CO" /&gt;</v>
      </c>
      <c r="C40" s="124"/>
      <c r="D40" s="124"/>
      <c r="E40" s="124"/>
    </row>
    <row r="41" spans="1:7">
      <c r="A41" s="120" t="s">
        <v>32</v>
      </c>
      <c r="B41" s="124" t="str">
        <f t="shared" si="3"/>
        <v>&lt;!-- fin Open Graph data --&gt;</v>
      </c>
      <c r="C41" s="124"/>
      <c r="D41" s="124"/>
      <c r="E41" s="136"/>
    </row>
    <row r="42" spans="1:7">
      <c r="B42" s="124" t="s">
        <v>33</v>
      </c>
      <c r="C42" s="124"/>
      <c r="D42" s="124"/>
      <c r="E42" s="124" t="s">
        <v>2</v>
      </c>
    </row>
    <row r="43" spans="1:7">
      <c r="A43" s="120" t="s">
        <v>34</v>
      </c>
      <c r="B43" s="124" t="str">
        <f t="shared" si="3"/>
        <v>&lt;!-- Twitter cards --&gt;</v>
      </c>
      <c r="C43" s="124"/>
      <c r="D43" s="124"/>
      <c r="E43" s="124" t="s">
        <v>2</v>
      </c>
    </row>
    <row r="44" spans="1:7">
      <c r="B44" s="124" t="s">
        <v>93</v>
      </c>
      <c r="C44" s="124"/>
      <c r="D44" s="124"/>
      <c r="E44" s="124" t="s">
        <v>2</v>
      </c>
    </row>
    <row r="45" spans="1:7">
      <c r="A45" s="151" t="s">
        <v>37</v>
      </c>
      <c r="B45" s="124" t="str">
        <f>CONCATENATE(F45,$D$2,$G$24)</f>
        <v>&lt;meta name="twitter:title" content="Índice de Claude AI - Ing. Eduardo Herrera Forero" /&gt;</v>
      </c>
      <c r="C45" s="124"/>
      <c r="D45" s="124"/>
      <c r="E45" s="124" t="s">
        <v>2</v>
      </c>
      <c r="F45" s="120" t="s">
        <v>38</v>
      </c>
    </row>
    <row r="46" spans="1:7">
      <c r="A46" s="153" t="s">
        <v>39</v>
      </c>
      <c r="B46" s="124" t="str">
        <f>CONCATENATE(F46,$D$3,$G$24)</f>
        <v>&lt;meta name="twitter:description" content="Índice completo de la documentación sobre Claude AI: guías, funciones y productos de Anthropic explicados paso a paso" /&gt;</v>
      </c>
      <c r="C46" s="124"/>
      <c r="D46" s="124"/>
      <c r="F46" s="120" t="s">
        <v>40</v>
      </c>
    </row>
    <row r="47" spans="1:7">
      <c r="B47" s="120" t="str">
        <f>CONCATENATE(F47,D10,G47)</f>
        <v>&lt;meta name="twitter:image" content="https://i.ibb.co/Zp2GMWtF/claude-twitter-summary.png" /&gt;</v>
      </c>
      <c r="D47" s="124"/>
      <c r="F47" s="137" t="s">
        <v>94</v>
      </c>
      <c r="G47" s="137" t="s">
        <v>13</v>
      </c>
    </row>
    <row r="48" spans="1:7">
      <c r="A48" s="120" t="s">
        <v>42</v>
      </c>
      <c r="B48" s="120" t="str">
        <f>CONCATENATE(F48,D9,$G$24)</f>
        <v>&lt;meta name="twitter:image:alt" content="Vista previa del índice de Claude AI para compartir en redes sociales, fondo blanco" /&gt;</v>
      </c>
      <c r="D48" s="124"/>
      <c r="F48" s="124" t="s">
        <v>95</v>
      </c>
      <c r="G48" s="120" t="s">
        <v>96</v>
      </c>
    </row>
    <row r="49" spans="1:13">
      <c r="A49" s="151"/>
      <c r="B49" s="124" t="str">
        <f>CONCATENATE(F49,$A$16,$G$24)</f>
        <v>&lt;meta name="twitter:url" content="https://eduardoherreraf.github.io/claude-ai.html" /&gt;</v>
      </c>
      <c r="C49" s="124"/>
      <c r="D49" s="124"/>
      <c r="E49" s="124" t="s">
        <v>2</v>
      </c>
      <c r="F49" s="120" t="s">
        <v>97</v>
      </c>
    </row>
    <row r="50" spans="1:13">
      <c r="B50" s="124" t="s">
        <v>36</v>
      </c>
      <c r="C50" s="124"/>
      <c r="D50" s="124"/>
    </row>
    <row r="51" spans="1:13">
      <c r="A51" s="120" t="s">
        <v>43</v>
      </c>
      <c r="B51" s="124" t="str">
        <f t="shared" ref="B51:B62" si="4">A51</f>
        <v>&lt;!-- Fin Twitter cards --&gt;</v>
      </c>
      <c r="C51" s="124"/>
      <c r="D51" s="124"/>
      <c r="M51" s="124"/>
    </row>
    <row r="52" spans="1:13">
      <c r="B52" s="124" t="s">
        <v>33</v>
      </c>
      <c r="C52" s="124"/>
      <c r="D52" s="124"/>
      <c r="E52" s="124" t="s">
        <v>2</v>
      </c>
    </row>
    <row r="53" spans="1:13">
      <c r="A53" s="120" t="s">
        <v>44</v>
      </c>
      <c r="B53" s="124" t="str">
        <f t="shared" si="4"/>
        <v>&lt;!-- iconos --&gt;</v>
      </c>
      <c r="C53" s="124"/>
      <c r="D53" s="124"/>
      <c r="E53" s="124" t="s">
        <v>2</v>
      </c>
    </row>
    <row r="54" spans="1:13">
      <c r="A54" s="120" t="s">
        <v>45</v>
      </c>
      <c r="B54" s="124" t="str">
        <f t="shared" si="4"/>
        <v>&lt;link rel="apple-touch-icon" sizes="180x180" href="apple-touch-icon.png" /&gt;</v>
      </c>
      <c r="C54" s="124"/>
      <c r="D54" s="124"/>
      <c r="E54" s="124" t="s">
        <v>2</v>
      </c>
    </row>
    <row r="55" spans="1:13">
      <c r="A55" s="120" t="s">
        <v>46</v>
      </c>
      <c r="B55" s="124" t="str">
        <f t="shared" si="4"/>
        <v>&lt;link rel="icon" type="image/png" sizes="32x32" href="favicon-32x32.png" /&gt;</v>
      </c>
      <c r="C55" s="124"/>
      <c r="D55" s="124"/>
      <c r="E55" s="124" t="s">
        <v>2</v>
      </c>
    </row>
    <row r="56" spans="1:13">
      <c r="A56" s="120" t="s">
        <v>47</v>
      </c>
      <c r="B56" s="124" t="str">
        <f t="shared" si="4"/>
        <v>&lt;link rel="icon" type="image/png" sizes="192x192" href="android-chrome-192x192.png"/&gt;</v>
      </c>
      <c r="C56" s="124"/>
      <c r="D56" s="124"/>
      <c r="E56" s="124" t="s">
        <v>2</v>
      </c>
    </row>
    <row r="57" spans="1:13">
      <c r="A57" s="120" t="s">
        <v>48</v>
      </c>
      <c r="B57" s="124" t="str">
        <f t="shared" si="4"/>
        <v>&lt;link rel="icon" type="image/png" sizes="16x16" href="favicon-16x16.png" /&gt;</v>
      </c>
      <c r="C57" s="124"/>
      <c r="D57" s="124"/>
      <c r="E57" s="124" t="s">
        <v>2</v>
      </c>
    </row>
    <row r="58" spans="1:13">
      <c r="A58" s="120" t="s">
        <v>49</v>
      </c>
      <c r="B58" s="124" t="str">
        <f t="shared" si="4"/>
        <v>&lt;link rel="manifest" href="site.webmanifest" /&gt;</v>
      </c>
      <c r="C58" s="124"/>
      <c r="D58" s="124"/>
      <c r="E58" s="124" t="s">
        <v>2</v>
      </c>
    </row>
    <row r="59" spans="1:13">
      <c r="A59" s="120" t="s">
        <v>50</v>
      </c>
      <c r="B59" s="124" t="str">
        <f t="shared" si="4"/>
        <v>&lt;link rel="mask-icon" href="safari-pinned-tab.svg" color="#5bbad5" /&gt;</v>
      </c>
      <c r="C59" s="124"/>
      <c r="D59" s="124"/>
      <c r="E59" s="124" t="s">
        <v>2</v>
      </c>
    </row>
    <row r="60" spans="1:13">
      <c r="A60" s="120" t="s">
        <v>51</v>
      </c>
      <c r="B60" s="124" t="str">
        <f t="shared" si="4"/>
        <v>&lt;meta name="msapplication-TileColor" content="#da532c" /&gt;</v>
      </c>
      <c r="C60" s="124"/>
      <c r="D60" s="124"/>
      <c r="E60" s="124" t="s">
        <v>2</v>
      </c>
    </row>
    <row r="61" spans="1:13">
      <c r="A61" s="120" t="s">
        <v>52</v>
      </c>
      <c r="B61" s="124" t="str">
        <f t="shared" si="4"/>
        <v>&lt;meta name="theme-color" content="#ffffff" /&gt;</v>
      </c>
      <c r="C61" s="124"/>
      <c r="D61" s="124"/>
      <c r="E61" s="124" t="s">
        <v>2</v>
      </c>
    </row>
    <row r="62" spans="1:13">
      <c r="A62" s="120" t="s">
        <v>53</v>
      </c>
      <c r="B62" s="124" t="str">
        <f t="shared" si="4"/>
        <v>&lt;!-- fin iconos --&gt;</v>
      </c>
      <c r="C62" s="124"/>
      <c r="D62" s="124"/>
      <c r="E62" s="124" t="s">
        <v>2</v>
      </c>
    </row>
    <row r="63" spans="1:13">
      <c r="B63" s="124" t="s">
        <v>33</v>
      </c>
      <c r="C63" s="124"/>
      <c r="D63" s="124"/>
      <c r="E63" s="124" t="s">
        <v>2</v>
      </c>
    </row>
    <row r="64" spans="1:13">
      <c r="A64" s="120" t="s">
        <v>54</v>
      </c>
      <c r="B64" s="124" t="str">
        <f t="shared" ref="B64:B68" si="5">A64</f>
        <v>&lt;title&gt;</v>
      </c>
      <c r="C64" s="124"/>
      <c r="D64" s="124"/>
      <c r="E64" s="124" t="s">
        <v>2</v>
      </c>
    </row>
    <row r="65" spans="1:5">
      <c r="A65" s="151" t="s">
        <v>55</v>
      </c>
      <c r="B65" s="124" t="str">
        <f>D2</f>
        <v>Índice de Claude AI - Ing. Eduardo Herrera Forero</v>
      </c>
      <c r="C65" s="124"/>
      <c r="D65" s="124"/>
      <c r="E65" s="124" t="s">
        <v>2</v>
      </c>
    </row>
    <row r="66" spans="1:5">
      <c r="A66" s="120" t="s">
        <v>56</v>
      </c>
      <c r="B66" s="124" t="str">
        <f t="shared" si="5"/>
        <v>&lt;/title&gt;</v>
      </c>
      <c r="C66" s="124"/>
      <c r="D66" s="124"/>
      <c r="E66" s="124" t="s">
        <v>2</v>
      </c>
    </row>
    <row r="67" spans="1:5">
      <c r="B67" s="124" t="s">
        <v>33</v>
      </c>
      <c r="C67" s="124"/>
      <c r="D67" s="124"/>
      <c r="E67" s="124" t="s">
        <v>2</v>
      </c>
    </row>
    <row r="68" spans="1:5">
      <c r="A68" s="120" t="s">
        <v>57</v>
      </c>
      <c r="B68" s="124" t="str">
        <f t="shared" si="5"/>
        <v>&lt;script type="module" defer src="./js/main.js"&gt;&lt;/script&gt;</v>
      </c>
      <c r="C68" s="124"/>
      <c r="D68" s="124"/>
      <c r="E68" s="124" t="s">
        <v>2</v>
      </c>
    </row>
    <row r="69" spans="1:5">
      <c r="B69" s="124" t="s">
        <v>33</v>
      </c>
      <c r="C69" s="124"/>
      <c r="D69" s="124"/>
      <c r="E69" s="124" t="s">
        <v>2</v>
      </c>
    </row>
    <row r="70" spans="1:5">
      <c r="A70" s="120" t="s">
        <v>58</v>
      </c>
      <c r="B70" s="138" t="str">
        <f>A70</f>
        <v>&lt;meta name="google-site-verification" content="2H5ZMCD1_xl7oxaiqnopfdQBnIXVIOfmW0UBSa5sQJc"/&gt;</v>
      </c>
      <c r="C70" s="138"/>
      <c r="D70" s="124"/>
      <c r="E70" s="124" t="s">
        <v>2</v>
      </c>
    </row>
    <row r="71" spans="1:5">
      <c r="A71" s="120" t="s">
        <v>59</v>
      </c>
      <c r="B71" s="124" t="str">
        <f>A71</f>
        <v>&lt;/head&gt;</v>
      </c>
      <c r="C71" s="124"/>
      <c r="D71" s="124"/>
      <c r="E71" s="124" t="s">
        <v>2</v>
      </c>
    </row>
    <row r="72" spans="1:5">
      <c r="E72" s="124" t="s">
        <v>2</v>
      </c>
    </row>
    <row r="108" spans="2:3">
      <c r="B108" s="139"/>
      <c r="C108" s="140"/>
    </row>
  </sheetData>
  <conditionalFormatting sqref="C2">
    <cfRule type="duplicateValues" dxfId="0" priority="4"/>
  </conditionalFormatting>
  <conditionalFormatting sqref="D3">
    <cfRule type="expression" dxfId="1" priority="3">
      <formula>$E$3&gt;155</formula>
    </cfRule>
  </conditionalFormatting>
  <conditionalFormatting sqref="D9">
    <cfRule type="duplicateValues" dxfId="0" priority="1"/>
  </conditionalFormatting>
  <conditionalFormatting sqref="D5:D6">
    <cfRule type="duplicateValues" dxfId="0" priority="2"/>
  </conditionalFormatting>
  <conditionalFormatting sqref="D1:D4;D8;D11:D17;C18;D19:D1048576">
    <cfRule type="duplicateValues" dxfId="0" priority="5"/>
  </conditionalFormatting>
  <hyperlinks>
    <hyperlink ref="A16" r:id="rId3" display="=CONCATENAR(&quot;https://eduardoherreraf.github.io/&quot;;D16)" tooltip="https://git-introduccion_de_git_para_windows.html"/>
    <hyperlink ref="F17" r:id="rId4" display="https://i.imgur.com/JKbKYrO.png"/>
    <hyperlink ref="D10" r:id="rId5" display="https://i.ibb.co/Zp2GMWtF/claude-twitter-summary.png" tooltip="https://i.ibb.co/Zp2GMWtF/claude-twitter-summary.png"/>
    <hyperlink ref="D7" r:id="rId6" display="https://i.ibb.co/GYsmZ4X/claude-og.png"/>
  </hyperlink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4"/>
  <sheetViews>
    <sheetView topLeftCell="B1" workbookViewId="0">
      <pane ySplit="1" topLeftCell="A6" activePane="bottomLeft" state="frozen"/>
      <selection/>
      <selection pane="bottomLeft" activeCell="B33" sqref="B33"/>
    </sheetView>
  </sheetViews>
  <sheetFormatPr defaultColWidth="9" defaultRowHeight="16.2" zeroHeight="1"/>
  <cols>
    <col min="1" max="1" width="11" style="83" customWidth="1"/>
    <col min="2" max="2" width="47" style="24" customWidth="1"/>
    <col min="3" max="3" width="110.3" style="84" customWidth="1"/>
    <col min="4" max="4" width="50.5" style="81" customWidth="1"/>
    <col min="5" max="9" width="3.5" style="81" customWidth="1"/>
    <col min="10" max="10" width="11.8" style="81" customWidth="1"/>
    <col min="11" max="16384" width="9" style="81"/>
  </cols>
  <sheetData>
    <row r="1" ht="16.95" spans="1:11">
      <c r="B1" s="81"/>
      <c r="C1" s="85"/>
      <c r="E1" s="84" t="s">
        <v>98</v>
      </c>
      <c r="F1" s="86" t="s">
        <v>99</v>
      </c>
      <c r="G1" s="81" t="s">
        <v>100</v>
      </c>
      <c r="H1" s="87" t="s">
        <v>101</v>
      </c>
      <c r="J1" s="81" t="s">
        <v>102</v>
      </c>
      <c r="K1" s="88" t="e">
        <f>IF(B9&lt;&gt;"",CONCATENATE("id=",'&lt;!--  Principal  --&gt; Indice'!Comillas,#REF!,'&lt;!--  Principal  --&gt; Indice'!Comillas),"")</f>
        <v>#REF!</v>
      </c>
    </row>
    <row r="2" spans="1:11">
      <c r="A2" s="89"/>
      <c r="B2" s="90"/>
      <c r="C2" s="91" t="s">
        <v>103</v>
      </c>
      <c r="D2" s="81" t="str">
        <f t="shared" ref="D2:D12" si="0">""</f>
        <v/>
      </c>
      <c r="F2" s="92"/>
    </row>
    <row r="3" spans="1:11">
      <c r="B3" s="81"/>
      <c r="C3" s="93" t="str">
        <f>CONCATENATE("&lt;div class=",Comillas,"container-fluid",Comillas,B10,"&gt;")</f>
        <v>&lt;div class="container-fluid"id="indice-de-claude-ai"&gt;</v>
      </c>
      <c r="D3" s="81" t="str">
        <f t="shared" si="0"/>
        <v/>
      </c>
      <c r="F3" s="92"/>
    </row>
    <row r="4" spans="1:11">
      <c r="B4" s="81"/>
      <c r="C4" s="94" t="s">
        <v>104</v>
      </c>
      <c r="D4" s="81" t="str">
        <f t="shared" si="0"/>
        <v/>
      </c>
      <c r="F4" s="92"/>
    </row>
    <row r="5" spans="1:11">
      <c r="A5" s="88"/>
      <c r="B5" s="81"/>
      <c r="C5" s="94" t="s">
        <v>105</v>
      </c>
      <c r="D5" s="81" t="str">
        <f t="shared" si="0"/>
        <v/>
      </c>
      <c r="F5" s="92"/>
    </row>
    <row r="6" spans="1:11">
      <c r="A6" s="88"/>
      <c r="B6" s="81"/>
      <c r="C6" s="94" t="str">
        <f>CONCATENATE("&lt;!--  ",$B$8,"--&gt;")</f>
        <v>&lt;!--  Índice de Claude AI--&gt;</v>
      </c>
      <c r="D6" s="81" t="str">
        <f t="shared" si="0"/>
        <v/>
      </c>
      <c r="F6" s="92"/>
    </row>
    <row r="7" ht="32.4" spans="1:11">
      <c r="A7" s="88"/>
      <c r="B7" s="81"/>
      <c r="C7" s="95" t="s">
        <v>106</v>
      </c>
      <c r="D7" s="81" t="str">
        <f t="shared" si="0"/>
        <v/>
      </c>
      <c r="F7" s="92"/>
    </row>
    <row r="8" spans="1:11">
      <c r="A8" s="88" t="s">
        <v>107</v>
      </c>
      <c r="B8" s="96" t="str">
        <f>'&lt;head&gt; Indice'!C2</f>
        <v>Índice de Claude AI</v>
      </c>
      <c r="C8" s="94" t="str">
        <f>CONCATENATE("&lt;header&gt;&lt;h1&gt;",B8,"&lt;/h1&gt;&lt;/header&gt;")</f>
        <v>&lt;header&gt;&lt;h1&gt;Índice de Claude AI&lt;/h1&gt;&lt;/header&gt;</v>
      </c>
      <c r="D8" s="81" t="str">
        <f t="shared" si="0"/>
        <v/>
      </c>
      <c r="F8" s="92"/>
    </row>
    <row r="9" ht="16.95" spans="1:11">
      <c r="A9" s="88"/>
      <c r="B9" s="97" t="str">
        <f>SUBSTITUTE(SUBSTITUTE(SUBSTITUTE(SUBSTITUTE(SUBSTITUTE(SUBSTITUTE(SUBSTITUTE(SUBSTITUTE(SUBSTITUTE(LOWER(B8)," ","-"),"¿",""),"?",""),"é","e"),"á","a"),"ñ","n"),"í","i"),"ó","o"),":","")</f>
        <v>indice-de-claude-ai</v>
      </c>
      <c r="C9" s="94" t="str">
        <f>IF($B$8&lt;&gt;"",CONCATENATE("&lt;!-- ",B8," --&gt;"))</f>
        <v>&lt;!-- Índice de Claude AI --&gt;</v>
      </c>
      <c r="D9" s="81" t="str">
        <f t="shared" si="0"/>
        <v/>
      </c>
      <c r="F9" s="92"/>
    </row>
    <row r="10" spans="1:11">
      <c r="A10" s="98" t="s">
        <v>108</v>
      </c>
      <c r="B10" s="94" t="str">
        <f>CONCATENATE("id=",'&lt;!--  Principal  --&gt; Indice'!Comillas,B9,'&lt;!--  Principal  --&gt; Indice'!Comillas)</f>
        <v>id="indice-de-claude-ai"</v>
      </c>
      <c r="C10" s="94" t="str">
        <f>IF(B8&lt;&gt;"",CONCATENATE("&lt;div ",$A$10,""))</f>
        <v>&lt;div class="mt-3"&gt;</v>
      </c>
      <c r="D10" s="81" t="str">
        <f t="shared" si="0"/>
        <v/>
      </c>
      <c r="F10" s="92"/>
    </row>
    <row r="11" s="81" customFormat="1" spans="1:11">
      <c r="A11" s="88"/>
      <c r="C11" s="94" t="s">
        <v>109</v>
      </c>
      <c r="D11" s="81" t="str">
        <f t="shared" si="0"/>
        <v/>
      </c>
      <c r="F11" s="92"/>
    </row>
    <row r="12" spans="1:11">
      <c r="A12" s="88"/>
      <c r="B12" s="95"/>
      <c r="C12" s="94" t="s">
        <v>110</v>
      </c>
      <c r="D12" s="81" t="str">
        <f t="shared" si="0"/>
        <v/>
      </c>
      <c r="F12" s="92"/>
    </row>
    <row r="13" spans="1:11">
      <c r="A13" s="88" t="s">
        <v>111</v>
      </c>
      <c r="B13" s="99" t="str">
        <f>'&lt;head&gt; Indice'!D7</f>
        <v>https://i.ibb.co/GYsmZ4X/claude-og.png</v>
      </c>
      <c r="C13" s="94" t="str">
        <f>CONCATENATE("&lt;img src=",Comilla,B13,Comilla)</f>
        <v>&lt;img src="https://i.ibb.co/GYsmZ4X/claude-og.png"</v>
      </c>
      <c r="F13" s="92"/>
    </row>
    <row r="14" spans="1:11">
      <c r="A14" s="88"/>
      <c r="B14" s="15"/>
      <c r="C14" s="94" t="s">
        <v>112</v>
      </c>
      <c r="F14" s="92"/>
    </row>
    <row r="15" spans="1:11">
      <c r="A15" s="88"/>
      <c r="B15" s="15"/>
      <c r="C15" s="94" t="str">
        <f>CONCATENATE("alt=",Comilla,'&lt;head&gt; Indice'!D12,Comilla)</f>
        <v>alt="Índice de la documentación de Claude AI con enlaces a cada guía de producto"</v>
      </c>
      <c r="F15" s="92"/>
    </row>
    <row r="16" spans="1:11">
      <c r="A16" s="88"/>
      <c r="B16" s="15"/>
      <c r="C16" s="94" t="str">
        <f>CONCATENATE("title=",Comilla,'&lt;head&gt; Indice'!D13,Comilla)</f>
        <v>title="Índice de Claude AI"</v>
      </c>
      <c r="F16" s="92"/>
    </row>
    <row r="17" spans="1:6">
      <c r="A17" s="88"/>
      <c r="B17" s="15"/>
      <c r="C17" s="94" t="s">
        <v>113</v>
      </c>
      <c r="F17" s="92"/>
    </row>
    <row r="18" spans="1:6">
      <c r="A18" s="88"/>
      <c r="B18" s="100"/>
      <c r="C18" s="94" t="str">
        <f>" /&gt;"</f>
        <v> /&gt;</v>
      </c>
      <c r="F18" s="92"/>
    </row>
    <row r="19" spans="1:6">
      <c r="A19" s="88"/>
      <c r="B19" s="95"/>
      <c r="C19" s="94" t="s">
        <v>102</v>
      </c>
      <c r="F19" s="92"/>
    </row>
    <row r="20" spans="1:6">
      <c r="A20" s="88" t="s">
        <v>114</v>
      </c>
      <c r="B20" s="95"/>
      <c r="C20" s="94" t="str">
        <f>'&lt;head&gt; Indice'!D14</f>
        <v>Índice general de la serie de guías sobre Claude AI y sus productos</v>
      </c>
      <c r="F20" s="92"/>
    </row>
    <row r="21" spans="1:6">
      <c r="A21" s="88"/>
      <c r="B21" s="81" t="str">
        <f>""</f>
        <v/>
      </c>
      <c r="C21" s="94" t="s">
        <v>115</v>
      </c>
      <c r="D21" s="81" t="str">
        <f t="shared" ref="D21:D28" si="1">""</f>
        <v/>
      </c>
      <c r="F21" s="92"/>
    </row>
    <row r="22" spans="1:6">
      <c r="A22" s="88"/>
      <c r="C22" s="94" t="s">
        <v>116</v>
      </c>
      <c r="D22" s="81" t="str">
        <f t="shared" si="1"/>
        <v/>
      </c>
      <c r="F22" s="92"/>
    </row>
    <row r="23" spans="1:6">
      <c r="A23" s="88"/>
      <c r="B23" s="81"/>
      <c r="C23" s="94" t="s">
        <v>117</v>
      </c>
      <c r="D23" s="81" t="str">
        <f t="shared" si="1"/>
        <v/>
      </c>
      <c r="F23" s="92"/>
    </row>
    <row r="24" spans="1:6">
      <c r="A24" s="88"/>
      <c r="B24" s="81"/>
      <c r="C24" s="94" t="s">
        <v>117</v>
      </c>
      <c r="D24" s="81" t="str">
        <f t="shared" si="1"/>
        <v/>
      </c>
      <c r="F24" s="92"/>
    </row>
    <row r="25" spans="1:6">
      <c r="A25" s="88"/>
      <c r="B25" s="94" t="str">
        <f>""</f>
        <v/>
      </c>
      <c r="C25" s="94" t="str">
        <f>IF($B$8&lt;&gt;"","&lt;!-- Introducción Fin --&gt;","")</f>
        <v>&lt;!-- Introducción Fin --&gt;</v>
      </c>
      <c r="D25" s="81" t="str">
        <f t="shared" si="1"/>
        <v/>
      </c>
      <c r="F25" s="92"/>
    </row>
    <row r="26" ht="16.95" spans="1:6">
      <c r="A26" s="103"/>
      <c r="B26" s="104"/>
      <c r="C26" s="105" t="s">
        <v>118</v>
      </c>
      <c r="D26" s="81" t="str">
        <f t="shared" si="1"/>
        <v/>
      </c>
      <c r="F26" s="92"/>
    </row>
    <row r="27" spans="1:6">
      <c r="A27" s="86"/>
      <c r="B27" s="81"/>
      <c r="C27" s="93" t="str">
        <f>""</f>
        <v/>
      </c>
      <c r="D27" s="81" t="str">
        <f t="shared" si="1"/>
        <v/>
      </c>
      <c r="F27" s="92"/>
    </row>
    <row r="28" spans="1:6">
      <c r="A28" s="86"/>
      <c r="B28" s="81" t="str">
        <f>""</f>
        <v/>
      </c>
      <c r="C28" s="93" t="str">
        <f>""</f>
        <v/>
      </c>
      <c r="D28" s="81" t="str">
        <f t="shared" si="1"/>
        <v/>
      </c>
      <c r="F28" s="92"/>
    </row>
    <row r="29" spans="1:6">
      <c r="A29" s="86"/>
      <c r="B29" s="81" t="str">
        <f>""</f>
        <v/>
      </c>
      <c r="C29" s="84" t="s">
        <v>119</v>
      </c>
      <c r="F29" s="92"/>
    </row>
    <row r="30" spans="1:6">
      <c r="C30" s="110" t="s">
        <v>120</v>
      </c>
      <c r="D30" s="81" t="str">
        <f t="shared" ref="D30:D50" si="2">""</f>
        <v/>
      </c>
      <c r="F30" s="92"/>
    </row>
    <row r="31" spans="1:6">
      <c r="C31" s="84" t="s">
        <v>121</v>
      </c>
      <c r="D31" s="81" t="str">
        <f t="shared" si="2"/>
        <v/>
      </c>
      <c r="F31" s="92"/>
    </row>
    <row r="32" spans="1:6">
      <c r="C32" s="111" t="s">
        <v>122</v>
      </c>
      <c r="D32" s="81" t="str">
        <f t="shared" si="2"/>
        <v/>
      </c>
      <c r="F32" s="92"/>
    </row>
    <row r="33" spans="1:6">
      <c r="C33" s="111" t="s">
        <v>123</v>
      </c>
      <c r="D33" s="81" t="str">
        <f t="shared" si="2"/>
        <v/>
      </c>
      <c r="F33" s="92"/>
    </row>
    <row r="34" spans="1:6">
      <c r="C34" s="111" t="s">
        <v>124</v>
      </c>
      <c r="D34" s="81" t="str">
        <f t="shared" si="2"/>
        <v/>
      </c>
      <c r="F34" s="92"/>
    </row>
    <row r="35" spans="1:6">
      <c r="C35" s="111" t="s">
        <v>125</v>
      </c>
      <c r="D35" s="81" t="str">
        <f t="shared" si="2"/>
        <v/>
      </c>
      <c r="F35" s="92"/>
    </row>
    <row r="36" spans="1:6">
      <c r="C36" s="111" t="s">
        <v>126</v>
      </c>
      <c r="D36" s="81" t="str">
        <f t="shared" si="2"/>
        <v/>
      </c>
      <c r="F36" s="92"/>
    </row>
    <row r="37" spans="1:6">
      <c r="C37" s="111" t="s">
        <v>127</v>
      </c>
      <c r="D37" s="81" t="str">
        <f t="shared" si="2"/>
        <v/>
      </c>
      <c r="F37" s="92"/>
    </row>
    <row r="38" spans="1:6">
      <c r="C38" s="111" t="s">
        <v>128</v>
      </c>
      <c r="D38" s="81" t="str">
        <f t="shared" si="2"/>
        <v/>
      </c>
      <c r="F38" s="92"/>
    </row>
    <row r="39" spans="1:6">
      <c r="C39" s="111" t="s">
        <v>129</v>
      </c>
      <c r="D39" s="81" t="str">
        <f t="shared" si="2"/>
        <v/>
      </c>
      <c r="F39" s="92"/>
    </row>
    <row r="40" spans="1:6">
      <c r="C40" s="111" t="s">
        <v>117</v>
      </c>
      <c r="D40" s="81" t="str">
        <f t="shared" si="2"/>
        <v/>
      </c>
      <c r="F40" s="92"/>
    </row>
    <row r="41" spans="1:6">
      <c r="C41" s="111" t="s">
        <v>127</v>
      </c>
      <c r="D41" s="81" t="str">
        <f t="shared" si="2"/>
        <v/>
      </c>
      <c r="F41" s="92"/>
    </row>
    <row r="42" spans="1:6">
      <c r="C42" s="111" t="s">
        <v>130</v>
      </c>
      <c r="D42" s="81" t="str">
        <f t="shared" si="2"/>
        <v/>
      </c>
      <c r="F42" s="92"/>
    </row>
    <row r="43" spans="1:6">
      <c r="C43" s="111" t="s">
        <v>131</v>
      </c>
      <c r="D43" s="81" t="str">
        <f t="shared" si="2"/>
        <v/>
      </c>
      <c r="F43" s="92"/>
    </row>
    <row r="44" spans="1:6">
      <c r="C44" s="111" t="s">
        <v>117</v>
      </c>
      <c r="D44" s="81" t="str">
        <f t="shared" si="2"/>
        <v/>
      </c>
      <c r="F44" s="92"/>
    </row>
    <row r="45" spans="1:6">
      <c r="C45" s="111" t="s">
        <v>127</v>
      </c>
      <c r="D45" s="81" t="str">
        <f t="shared" si="2"/>
        <v/>
      </c>
      <c r="F45" s="92"/>
    </row>
    <row r="46" spans="1:6">
      <c r="C46" s="111" t="s">
        <v>132</v>
      </c>
      <c r="D46" s="81" t="str">
        <f t="shared" si="2"/>
        <v/>
      </c>
      <c r="F46" s="92"/>
    </row>
    <row r="47" spans="1:6">
      <c r="A47" s="112"/>
      <c r="C47" s="111" t="s">
        <v>133</v>
      </c>
      <c r="D47" s="81" t="str">
        <f t="shared" si="2"/>
        <v/>
      </c>
      <c r="F47" s="92"/>
    </row>
    <row r="48" spans="1:6">
      <c r="A48" s="112"/>
      <c r="C48" s="111" t="s">
        <v>134</v>
      </c>
      <c r="D48" s="81" t="str">
        <f t="shared" si="2"/>
        <v/>
      </c>
      <c r="F48" s="92"/>
    </row>
    <row r="49" s="24" customFormat="1" spans="1:12">
      <c r="A49" s="112"/>
      <c r="C49" s="111" t="s">
        <v>117</v>
      </c>
      <c r="D49" s="81" t="str">
        <f t="shared" si="2"/>
        <v/>
      </c>
      <c r="E49" s="81"/>
      <c r="F49" s="92"/>
      <c r="G49" s="81"/>
      <c r="H49" s="81"/>
      <c r="I49" s="81"/>
      <c r="J49" s="81"/>
      <c r="K49" s="81"/>
      <c r="L49" s="81"/>
    </row>
    <row r="50" s="24" customFormat="1" spans="1:12">
      <c r="A50" s="112"/>
      <c r="C50" s="111" t="s">
        <v>135</v>
      </c>
      <c r="D50" s="81" t="str">
        <f t="shared" si="2"/>
        <v/>
      </c>
      <c r="E50" s="81"/>
      <c r="F50" s="92"/>
      <c r="G50" s="81"/>
      <c r="H50" s="81"/>
      <c r="I50" s="81"/>
      <c r="J50" s="81"/>
      <c r="K50" s="81"/>
      <c r="L50" s="81"/>
    </row>
    <row r="51" s="24" customFormat="1" spans="1:12">
      <c r="A51" s="112"/>
      <c r="C51" s="111" t="s">
        <v>136</v>
      </c>
      <c r="D51" s="81"/>
      <c r="E51" s="81"/>
      <c r="F51" s="92"/>
      <c r="G51" s="81"/>
      <c r="H51" s="81"/>
      <c r="I51" s="81"/>
      <c r="J51" s="81"/>
      <c r="K51" s="81"/>
      <c r="L51" s="81"/>
    </row>
    <row r="52" s="24" customFormat="1" spans="1:12">
      <c r="A52" s="112"/>
      <c r="C52" s="111" t="s">
        <v>137</v>
      </c>
      <c r="D52" s="81"/>
      <c r="E52" s="81"/>
      <c r="F52" s="92"/>
      <c r="G52" s="81"/>
      <c r="H52" s="81"/>
      <c r="I52" s="81"/>
      <c r="J52" s="81"/>
      <c r="K52" s="81"/>
      <c r="L52" s="81"/>
    </row>
    <row r="53" s="24" customFormat="1" spans="1:12">
      <c r="A53" s="112"/>
      <c r="C53" s="111" t="s">
        <v>138</v>
      </c>
      <c r="D53" s="81"/>
      <c r="E53" s="81"/>
      <c r="F53" s="92"/>
      <c r="G53" s="81"/>
      <c r="H53" s="81"/>
      <c r="I53" s="81"/>
      <c r="J53" s="81"/>
      <c r="K53" s="81"/>
      <c r="L53" s="81"/>
    </row>
    <row r="54" s="24" customFormat="1" spans="1:12">
      <c r="A54" s="112"/>
      <c r="C54" s="111" t="s">
        <v>117</v>
      </c>
      <c r="D54" s="81"/>
      <c r="E54" s="81"/>
      <c r="F54" s="92"/>
      <c r="G54" s="81"/>
      <c r="H54" s="81"/>
      <c r="I54" s="81"/>
      <c r="J54" s="81"/>
      <c r="K54" s="81"/>
      <c r="L54" s="81"/>
    </row>
    <row r="55" s="24" customFormat="1" spans="1:12">
      <c r="A55" s="112"/>
      <c r="C55" s="111" t="s">
        <v>119</v>
      </c>
      <c r="D55" s="81"/>
      <c r="E55" s="81"/>
      <c r="F55" s="92"/>
      <c r="G55" s="81"/>
      <c r="H55" s="81"/>
      <c r="I55" s="81"/>
      <c r="J55" s="81"/>
      <c r="K55" s="81"/>
      <c r="L55" s="81"/>
    </row>
    <row r="56" s="24" customFormat="1" spans="1:12">
      <c r="A56" s="112"/>
      <c r="C56" s="111" t="s">
        <v>139</v>
      </c>
      <c r="D56" s="81" t="str">
        <f>""</f>
        <v/>
      </c>
      <c r="E56" s="81"/>
      <c r="F56" s="92"/>
      <c r="G56" s="81"/>
      <c r="H56" s="81"/>
      <c r="I56" s="81"/>
      <c r="J56" s="81"/>
      <c r="K56" s="81"/>
      <c r="L56" s="81"/>
    </row>
    <row r="57" s="24" customFormat="1" spans="1:12">
      <c r="A57" s="83"/>
      <c r="C57" s="110" t="s">
        <v>140</v>
      </c>
      <c r="D57" s="81" t="str">
        <f>""</f>
        <v/>
      </c>
      <c r="E57" s="81"/>
      <c r="F57" s="92"/>
      <c r="G57" s="81"/>
      <c r="H57" s="81"/>
      <c r="I57" s="81"/>
      <c r="J57" s="81"/>
      <c r="K57" s="81"/>
      <c r="L57" s="81"/>
    </row>
    <row r="58" spans="1:12">
      <c r="C58" s="84" t="s">
        <v>141</v>
      </c>
      <c r="D58" s="81" t="str">
        <f t="shared" ref="D58:D64" si="3">""</f>
        <v/>
      </c>
      <c r="F58" s="92"/>
    </row>
    <row r="59" spans="1:12">
      <c r="C59" s="81" t="s">
        <v>117</v>
      </c>
      <c r="D59" s="81" t="str">
        <f t="shared" si="3"/>
        <v/>
      </c>
      <c r="F59" s="92"/>
    </row>
    <row r="60" spans="1:12">
      <c r="C60" s="119" t="s">
        <v>142</v>
      </c>
      <c r="D60" s="81" t="str">
        <f t="shared" si="3"/>
        <v/>
      </c>
      <c r="F60" s="92"/>
    </row>
    <row r="61" spans="1:12">
      <c r="D61" s="81" t="str">
        <f t="shared" si="3"/>
        <v/>
      </c>
      <c r="F61" s="92"/>
    </row>
    <row r="62" spans="1:12">
      <c r="C62" s="118"/>
      <c r="D62" s="81" t="str">
        <f t="shared" si="3"/>
        <v/>
      </c>
      <c r="F62" s="92"/>
    </row>
    <row r="63" spans="1:12">
      <c r="D63" s="81" t="str">
        <f t="shared" si="3"/>
        <v/>
      </c>
      <c r="F63" s="92"/>
    </row>
    <row r="64" spans="1:12">
      <c r="D64" s="81" t="str">
        <f t="shared" si="3"/>
        <v/>
      </c>
      <c r="F64" s="92"/>
    </row>
  </sheetData>
  <conditionalFormatting sqref="B13">
    <cfRule type="duplicateValues" dxfId="0" priority="4" stopIfTrue="1"/>
    <cfRule type="containsBlanks" dxfId="2" priority="3" stopIfTrue="1">
      <formula>LEN(TRIM(B13))=0</formula>
    </cfRule>
  </conditionalFormatting>
  <conditionalFormatting sqref="B18">
    <cfRule type="duplicateValues" dxfId="0" priority="2" stopIfTrue="1"/>
    <cfRule type="containsBlanks" dxfId="2" priority="1" stopIfTrue="1">
      <formula>LEN(TRIM(B18))=0</formula>
    </cfRule>
  </conditionalFormatting>
  <conditionalFormatting sqref="B1:B9;B11;B21:B1048576">
    <cfRule type="containsBlanks" dxfId="2" priority="9" stopIfTrue="1">
      <formula>LEN(TRIM(B1))=0</formula>
    </cfRule>
    <cfRule type="duplicateValues" dxfId="0" priority="10" stopIfTrue="1"/>
  </conditionalFormatting>
  <hyperlinks>
    <hyperlink ref="B13" r:id="rId1" display="='&lt;head&gt; Indice'!D7"/>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4"/>
  <sheetViews>
    <sheetView tabSelected="1" zoomScale="120" zoomScaleNormal="120" workbookViewId="0">
      <selection activeCell="C8" sqref="C8"/>
    </sheetView>
  </sheetViews>
  <sheetFormatPr defaultColWidth="11" defaultRowHeight="15.6"/>
  <cols>
    <col min="1" max="1" width="53.4166666666667" style="120" customWidth="1"/>
    <col min="2" max="2" width="18.5" style="120" customWidth="1"/>
    <col min="3" max="3" width="68.5" style="120" customWidth="1"/>
    <col min="4" max="4" width="35.2" style="120" customWidth="1"/>
    <col min="5" max="5" width="35" style="120" customWidth="1"/>
    <col min="6" max="16384" width="11" style="120"/>
  </cols>
  <sheetData>
    <row r="1" spans="1:4">
      <c r="A1" s="123" t="s">
        <v>8</v>
      </c>
      <c r="B1" s="122"/>
      <c r="C1" s="124"/>
    </row>
    <row r="2" spans="1:4">
      <c r="A2" s="122" t="str">
        <f>CONCATENATE("&lt;meta name=""title"" content=""",C2,""" /&gt;")</f>
        <v>&lt;meta name="title" content="Claude: Introducción - Ing. Eduardo Herrera Forero" /&gt;</v>
      </c>
      <c r="B2" s="125" t="s">
        <v>143</v>
      </c>
      <c r="C2" s="124" t="str">
        <f>CONCATENATE(B2," - Ing. Eduardo Herrera Forero")</f>
        <v>Claude: Introducción - Ing. Eduardo Herrera Forero</v>
      </c>
    </row>
    <row r="3" spans="1:4">
      <c r="A3" s="124" t="s">
        <v>62</v>
      </c>
      <c r="B3" s="125" t="s">
        <v>144</v>
      </c>
      <c r="C3" s="124" t="str">
        <f>CONCATENATE(B3,", presentado por el Ing. Eduardo Herrera Forero.")</f>
        <v>Contenido introductorio sobre Claude, el asistente de inteligencia artificial desarrollado por Anthropic, presentado por el Ing. Eduardo Herrera Forero.</v>
      </c>
    </row>
    <row r="4" spans="1:4">
      <c r="A4" s="124" t="s">
        <v>64</v>
      </c>
      <c r="B4" s="125" t="s">
        <v>145</v>
      </c>
      <c r="C4" s="124" t="str">
        <f>CONCATENATE(B4,", Eduardo Herrera Forero")</f>
        <v>Claude, inteligencia artificial, IA, Anthropic, introducción a Claude, chatbot, asistente virtual, Eduardo Herrera Forero</v>
      </c>
    </row>
    <row r="5" spans="1:4">
      <c r="A5" s="126"/>
      <c r="B5" s="122"/>
      <c r="C5" s="127"/>
    </row>
    <row r="6" spans="1:4">
      <c r="A6" s="123" t="s">
        <v>21</v>
      </c>
      <c r="B6" s="123"/>
      <c r="C6" s="127"/>
    </row>
    <row r="7" spans="1:4">
      <c r="A7" s="122" t="s">
        <v>67</v>
      </c>
      <c r="B7" s="125" t="s">
        <v>143</v>
      </c>
      <c r="C7" s="128" t="str">
        <f>CONCATENATE(B7," - Ing. Eduardo Herrera Forero")</f>
        <v>Claude: Introducción - Ing. Eduardo Herrera Forero</v>
      </c>
    </row>
    <row r="8" spans="1:4">
      <c r="A8" s="129" t="s">
        <v>69</v>
      </c>
      <c r="B8" s="129"/>
      <c r="C8" s="130" t="s">
        <v>146</v>
      </c>
      <c r="D8" s="120" t="s">
        <v>147</v>
      </c>
    </row>
    <row r="9" spans="1:4">
      <c r="B9" s="122"/>
      <c r="C9" s="127"/>
    </row>
    <row r="10" spans="1:4">
      <c r="A10" s="123" t="s">
        <v>34</v>
      </c>
      <c r="B10" s="123"/>
      <c r="C10" s="127"/>
      <c r="D10" s="120" t="s">
        <v>66</v>
      </c>
    </row>
    <row r="11" spans="1:4">
      <c r="A11" s="129" t="s">
        <v>74</v>
      </c>
      <c r="B11" s="129"/>
      <c r="C11" s="130" t="s">
        <v>148</v>
      </c>
      <c r="D11" t="s">
        <v>76</v>
      </c>
    </row>
    <row r="12" spans="1:4">
      <c r="B12" s="122"/>
      <c r="C12" s="127"/>
    </row>
    <row r="13" ht="16.35" spans="1:4">
      <c r="A13" s="123" t="s">
        <v>77</v>
      </c>
      <c r="B13" s="123"/>
      <c r="C13" s="127"/>
      <c r="D13" s="120" t="s">
        <v>66</v>
      </c>
    </row>
    <row r="14" s="120" customFormat="1" spans="1:4">
      <c r="A14" s="124" t="s">
        <v>78</v>
      </c>
      <c r="B14" s="124"/>
      <c r="C14" s="131" t="s">
        <v>149</v>
      </c>
      <c r="D14" s="120" t="s">
        <v>66</v>
      </c>
    </row>
    <row r="15" s="121" customFormat="1" spans="1:4">
      <c r="A15" s="124" t="s">
        <v>80</v>
      </c>
      <c r="B15" s="124"/>
      <c r="C15" s="132" t="s">
        <v>150</v>
      </c>
      <c r="D15" s="121" t="s">
        <v>66</v>
      </c>
    </row>
    <row r="16" s="121" customFormat="1" ht="16.35" spans="1:4">
      <c r="A16" s="124" t="s">
        <v>81</v>
      </c>
      <c r="B16" s="124"/>
      <c r="C16" s="133" t="s">
        <v>151</v>
      </c>
      <c r="D16" s="121" t="s">
        <v>66</v>
      </c>
    </row>
    <row r="17" s="121" customFormat="1" spans="1:6">
      <c r="A17" s="124"/>
      <c r="B17" s="124"/>
      <c r="C17" s="127"/>
      <c r="D17" s="121" t="s">
        <v>66</v>
      </c>
    </row>
    <row r="18" spans="1:6">
      <c r="A18" s="122" t="s">
        <v>83</v>
      </c>
      <c r="B18" s="125" t="s">
        <v>152</v>
      </c>
      <c r="C18" s="128" t="str">
        <f>CONCATENATE("https://eduardoherreraf.github.io/",B18)</f>
        <v>https://eduardoherreraf.github.io/claude-ai-0101_claude_introduccion.html</v>
      </c>
      <c r="D18" s="120" t="s">
        <v>66</v>
      </c>
    </row>
    <row r="19" s="120" customFormat="1" spans="1:6">
      <c r="A19" s="122" t="s">
        <v>85</v>
      </c>
      <c r="B19" s="122"/>
      <c r="C19" s="134" t="str">
        <f>C8</f>
        <v>https://res.cloudinary.com/u0xebdyd/image/upload/v1788813438/claude-og.png</v>
      </c>
      <c r="D19" s="120" t="s">
        <v>86</v>
      </c>
      <c r="E19" s="135" t="s">
        <v>87</v>
      </c>
    </row>
    <row r="20" s="122" customFormat="1" spans="1:6">
      <c r="B20" s="134"/>
      <c r="C20" s="122"/>
      <c r="D20" s="134"/>
    </row>
    <row r="21" spans="1:6">
      <c r="A21" s="122"/>
      <c r="B21" s="122"/>
    </row>
    <row r="22" spans="1:6">
      <c r="A22" s="124" t="s">
        <v>7</v>
      </c>
      <c r="B22" s="124"/>
      <c r="C22" s="124"/>
      <c r="D22" s="124" t="s">
        <v>2</v>
      </c>
    </row>
    <row r="23" spans="1:6">
      <c r="A23" s="124" t="s">
        <v>8</v>
      </c>
      <c r="B23" s="124"/>
      <c r="C23" s="124"/>
      <c r="D23" s="124" t="s">
        <v>2</v>
      </c>
    </row>
    <row r="24" spans="1:6">
      <c r="A24" s="124" t="s">
        <v>9</v>
      </c>
      <c r="B24" s="124"/>
      <c r="C24" s="124"/>
      <c r="D24" s="124" t="s">
        <v>2</v>
      </c>
    </row>
    <row r="25" spans="1:6">
      <c r="A25" s="124" t="s">
        <v>66</v>
      </c>
      <c r="B25" s="124"/>
      <c r="C25" s="124"/>
      <c r="D25" s="124"/>
    </row>
    <row r="26" spans="1:6">
      <c r="A26" s="124" t="str">
        <f>CONCATENATE("&lt;title&gt;",C26,"&lt;/title&gt;")</f>
        <v>&lt;title&gt;Claude: Introducción - Ing. Eduardo Herrera Forero&lt;/title&gt;</v>
      </c>
      <c r="B26" s="124"/>
      <c r="C26" s="124" t="str">
        <f>C2</f>
        <v>Claude: Introducción - Ing. Eduardo Herrera Forero</v>
      </c>
      <c r="D26" s="124" t="s">
        <v>2</v>
      </c>
    </row>
    <row r="27" spans="1:6">
      <c r="A27" s="120" t="s">
        <v>66</v>
      </c>
      <c r="B27" s="124"/>
      <c r="C27" s="124"/>
      <c r="D27" s="124" t="s">
        <v>2</v>
      </c>
    </row>
    <row r="28" spans="1:6">
      <c r="A28" s="124" t="s">
        <v>10</v>
      </c>
      <c r="B28" s="124"/>
      <c r="C28" s="124"/>
      <c r="D28" s="124" t="s">
        <v>2</v>
      </c>
    </row>
    <row r="29" spans="1:6">
      <c r="A29" s="124" t="str">
        <f>CONCATENATE(E29,$C$3,F29)</f>
        <v>&lt;meta name="description" content="Contenido introductorio sobre Claude, el asistente de inteligencia artificial desarrollado por Anthropic, presentado por el Ing. Eduardo Herrera Forero." /&gt;</v>
      </c>
      <c r="B29" s="124"/>
      <c r="C29" s="124"/>
      <c r="D29" s="124" t="s">
        <v>2</v>
      </c>
      <c r="E29" s="120" t="s">
        <v>12</v>
      </c>
      <c r="F29" s="120" t="s">
        <v>13</v>
      </c>
    </row>
    <row r="30" spans="1:6">
      <c r="A30" s="124" t="str">
        <f>CONCATENATE(E30,$C$4,F30)</f>
        <v>&lt;meta name="keywords" content="Claude, inteligencia artificial, IA, Anthropic, introducción a Claude, chatbot, asistente virtual, Eduardo Herrera Forero" /&gt;</v>
      </c>
      <c r="B30" s="124"/>
      <c r="C30" s="124"/>
      <c r="D30" s="124"/>
      <c r="E30" s="120" t="s">
        <v>89</v>
      </c>
      <c r="F30" s="120" t="s">
        <v>13</v>
      </c>
    </row>
    <row r="31" spans="1:6">
      <c r="A31" s="124" t="s">
        <v>14</v>
      </c>
      <c r="B31" s="124"/>
      <c r="C31" s="124"/>
      <c r="D31" s="124" t="s">
        <v>2</v>
      </c>
    </row>
    <row r="32" spans="1:6">
      <c r="A32" s="124" t="s">
        <v>15</v>
      </c>
      <c r="B32" s="124"/>
      <c r="C32" s="124"/>
      <c r="D32" s="124" t="s">
        <v>2</v>
      </c>
    </row>
    <row r="33" spans="1:6">
      <c r="A33" s="124" t="s">
        <v>16</v>
      </c>
      <c r="B33" s="124"/>
      <c r="C33" s="124"/>
      <c r="D33" s="124" t="s">
        <v>2</v>
      </c>
    </row>
    <row r="34" spans="1:6">
      <c r="A34" s="124" t="str">
        <f>CONCATENATE(E34,$C$18,$F$29)</f>
        <v>&lt;link rel="canonical" href="https://eduardoherreraf.github.io/claude-ai-0101_claude_introduccion.html" /&gt;</v>
      </c>
      <c r="B34" s="124"/>
      <c r="C34" s="124"/>
      <c r="D34" s="124" t="s">
        <v>2</v>
      </c>
      <c r="E34" s="120" t="s">
        <v>18</v>
      </c>
    </row>
    <row r="35" spans="1:6">
      <c r="A35" s="124" t="s">
        <v>19</v>
      </c>
      <c r="B35" s="124"/>
      <c r="C35" s="124"/>
      <c r="D35" s="124" t="s">
        <v>2</v>
      </c>
    </row>
    <row r="36" spans="1:6">
      <c r="A36" s="124" t="s">
        <v>66</v>
      </c>
      <c r="B36" s="124"/>
      <c r="C36" s="126"/>
      <c r="D36" s="124" t="s">
        <v>2</v>
      </c>
    </row>
    <row r="37" spans="1:6">
      <c r="A37" s="124" t="s">
        <v>21</v>
      </c>
      <c r="B37" s="124"/>
      <c r="C37" s="126"/>
    </row>
    <row r="38" spans="1:6">
      <c r="A38" s="124" t="s">
        <v>153</v>
      </c>
      <c r="B38" s="124"/>
      <c r="C38" s="126"/>
      <c r="D38" s="124"/>
    </row>
    <row r="39" spans="1:6">
      <c r="A39" s="124" t="str">
        <f>CONCATENATE(E39,$C$2,F29)</f>
        <v>&lt;meta property="og:title" content="Claude: Introducción - Ing. Eduardo Herrera Forero" /&gt;</v>
      </c>
      <c r="B39" s="124"/>
      <c r="C39" s="120"/>
      <c r="D39" s="124"/>
      <c r="E39" s="120" t="s">
        <v>24</v>
      </c>
    </row>
    <row r="40" spans="1:6">
      <c r="A40" s="124" t="str">
        <f>CONCATENATE(E40,$C$3,$F$29)</f>
        <v>&lt;meta property="og:description" content="Contenido introductorio sobre Claude, el asistente de inteligencia artificial desarrollado por Anthropic, presentado por el Ing. Eduardo Herrera Forero." /&gt;</v>
      </c>
      <c r="B40" s="124"/>
      <c r="C40" s="120"/>
      <c r="D40" s="124" t="s">
        <v>154</v>
      </c>
      <c r="E40" s="120" t="s">
        <v>26</v>
      </c>
    </row>
    <row r="41" spans="1:6">
      <c r="A41" s="120" t="str">
        <f>CONCATENATE(E41,C8,F41)</f>
        <v>&lt;meta property="og:image" content="https://res.cloudinary.com/u0xebdyd/image/upload/v1788813438/claude-og.png" /&gt;</v>
      </c>
      <c r="C41" s="126"/>
      <c r="D41" s="124"/>
      <c r="E41" s="120" t="s">
        <v>90</v>
      </c>
      <c r="F41" s="120" t="s">
        <v>13</v>
      </c>
    </row>
    <row r="42" spans="1:6">
      <c r="A42" s="120" t="str">
        <f>CONCATENATE(E42,$C$7,$F$55)</f>
        <v>&lt;meta property="og:image:alt" content="Claude: Introducción - Ing. Eduardo Herrera Forero"/&gt;</v>
      </c>
      <c r="C42" s="124"/>
      <c r="D42" s="124"/>
      <c r="E42" s="120" t="s">
        <v>91</v>
      </c>
      <c r="F42" s="120" t="s">
        <v>92</v>
      </c>
    </row>
    <row r="43" spans="1:6">
      <c r="A43" s="124" t="str">
        <f>CONCATENATE(E43,C18,$F$29)</f>
        <v>&lt;meta property="og:url" content="https://eduardoherreraf.github.io/claude-ai-0101_claude_introduccion.html" /&gt;</v>
      </c>
      <c r="B43" s="124"/>
      <c r="C43" s="124"/>
      <c r="D43" s="124"/>
      <c r="E43" s="120" t="s">
        <v>30</v>
      </c>
    </row>
    <row r="44" spans="1:6">
      <c r="A44" s="124" t="s">
        <v>31</v>
      </c>
      <c r="B44" s="124"/>
      <c r="C44" s="124"/>
      <c r="D44" s="124"/>
    </row>
    <row r="45" spans="1:6">
      <c r="A45" s="26" t="s">
        <v>155</v>
      </c>
      <c r="B45" s="124"/>
      <c r="C45" s="124"/>
      <c r="D45" s="124"/>
    </row>
    <row r="46" spans="1:6">
      <c r="A46" s="124" t="s">
        <v>156</v>
      </c>
      <c r="B46" s="124"/>
      <c r="C46" s="124"/>
      <c r="D46" s="124"/>
    </row>
    <row r="47" spans="1:6">
      <c r="A47" s="126" t="s">
        <v>157</v>
      </c>
      <c r="B47" s="124"/>
      <c r="C47" s="124"/>
      <c r="D47" s="136"/>
    </row>
    <row r="48" spans="1:6">
      <c r="A48" s="124" t="s">
        <v>32</v>
      </c>
      <c r="B48" s="124"/>
      <c r="C48" s="124"/>
      <c r="D48" s="124" t="s">
        <v>2</v>
      </c>
    </row>
    <row r="49" spans="1:12">
      <c r="A49" s="124" t="s">
        <v>66</v>
      </c>
      <c r="B49" s="124"/>
      <c r="C49" s="124"/>
      <c r="D49" s="124" t="s">
        <v>2</v>
      </c>
    </row>
    <row r="50" spans="1:12">
      <c r="A50" s="124" t="s">
        <v>34</v>
      </c>
      <c r="B50" s="124"/>
      <c r="C50" s="124"/>
      <c r="D50" s="124" t="s">
        <v>2</v>
      </c>
    </row>
    <row r="51" spans="1:12">
      <c r="A51" s="124" t="s">
        <v>93</v>
      </c>
      <c r="B51" s="124"/>
      <c r="C51" s="124"/>
      <c r="D51" s="124" t="s">
        <v>2</v>
      </c>
      <c r="E51" s="120" t="s">
        <v>38</v>
      </c>
    </row>
    <row r="52" spans="1:12">
      <c r="A52" s="124" t="str">
        <f>CONCATENATE(E52,$C$2,F43,Comilla," /&gt;")</f>
        <v>&lt;meta name="twitter:title" content="Claude: Introducción - Ing. Eduardo Herrera Forero" /&gt;</v>
      </c>
      <c r="B52" s="124"/>
      <c r="D52" s="124"/>
      <c r="E52" s="120" t="s">
        <v>38</v>
      </c>
    </row>
    <row r="53" spans="1:12">
      <c r="A53" s="124" t="str">
        <f>CONCATENATE(E53,$C$3,$F$29)</f>
        <v>&lt;meta name="twitter:description" content="Contenido introductorio sobre Claude, el asistente de inteligencia artificial desarrollado por Anthropic, presentado por el Ing. Eduardo Herrera Forero." /&gt;</v>
      </c>
      <c r="B53" s="124"/>
      <c r="D53" s="124" t="str">
        <f>""</f>
        <v/>
      </c>
      <c r="E53" s="120" t="s">
        <v>40</v>
      </c>
    </row>
    <row r="54" spans="1:12">
      <c r="A54" s="120" t="str">
        <f>CONCATENATE(E58,C11,F58)</f>
        <v>&lt;meta name="twitter:image" content="https://res.cloudinary.com/u0xebdyd/image/upload/v1788813170/claude-twitter-summary.png" /&gt;</v>
      </c>
      <c r="C54" s="124"/>
      <c r="E54" s="124" t="s">
        <v>95</v>
      </c>
      <c r="F54" s="120" t="s">
        <v>96</v>
      </c>
    </row>
    <row r="55" spans="1:12">
      <c r="A55" s="120" t="str">
        <f>CONCATENATE($E$55,$C$7,$F$55)</f>
        <v>&lt;meta name="twitter:image:alt" content="Claude: Introducción - Ing. Eduardo Herrera Forero"/&gt;</v>
      </c>
      <c r="C55" s="124"/>
      <c r="D55" s="124"/>
      <c r="E55" s="120" t="s">
        <v>95</v>
      </c>
      <c r="F55" s="120" t="s">
        <v>92</v>
      </c>
    </row>
    <row r="56" spans="1:12">
      <c r="A56" t="s">
        <v>158</v>
      </c>
      <c r="C56" s="124"/>
      <c r="D56" s="124"/>
      <c r="E56" s="120" t="s">
        <v>159</v>
      </c>
      <c r="F56" s="120" t="s">
        <v>92</v>
      </c>
    </row>
    <row r="57" spans="1:12">
      <c r="A57" s="124" t="s">
        <v>160</v>
      </c>
      <c r="B57" s="124"/>
      <c r="D57" s="124"/>
      <c r="E57" s="120" t="s">
        <v>40</v>
      </c>
    </row>
    <row r="58" spans="1:12">
      <c r="A58" s="124" t="s">
        <v>43</v>
      </c>
      <c r="C58" s="124"/>
      <c r="E58" s="137" t="s">
        <v>94</v>
      </c>
      <c r="F58" s="137" t="s">
        <v>13</v>
      </c>
    </row>
    <row r="59" spans="1:12">
      <c r="A59" s="124" t="s">
        <v>66</v>
      </c>
      <c r="B59" s="124"/>
      <c r="C59" s="124"/>
      <c r="D59" s="124" t="s">
        <v>2</v>
      </c>
      <c r="E59" s="120" t="s">
        <v>97</v>
      </c>
    </row>
    <row r="60" spans="1:12">
      <c r="A60" s="124" t="s">
        <v>44</v>
      </c>
      <c r="B60" s="124"/>
      <c r="C60" s="124"/>
    </row>
    <row r="61" spans="1:12">
      <c r="A61" s="124" t="s">
        <v>45</v>
      </c>
      <c r="B61" s="124"/>
      <c r="C61" s="124"/>
      <c r="L61" s="124"/>
    </row>
    <row r="62" spans="1:12">
      <c r="A62" s="124" t="s">
        <v>46</v>
      </c>
      <c r="B62" s="124"/>
      <c r="C62" s="124"/>
      <c r="D62" s="124" t="s">
        <v>2</v>
      </c>
    </row>
    <row r="63" spans="1:12">
      <c r="A63" s="124" t="s">
        <v>47</v>
      </c>
      <c r="B63" s="124"/>
      <c r="C63" s="124"/>
      <c r="D63" s="124" t="s">
        <v>2</v>
      </c>
    </row>
    <row r="64" spans="1:12">
      <c r="A64" s="124" t="s">
        <v>48</v>
      </c>
      <c r="B64" s="124"/>
      <c r="C64" s="124"/>
      <c r="D64" s="124" t="s">
        <v>2</v>
      </c>
    </row>
    <row r="65" spans="1:4">
      <c r="A65" s="124" t="s">
        <v>49</v>
      </c>
      <c r="B65" s="124"/>
      <c r="C65" s="124"/>
      <c r="D65" s="124" t="s">
        <v>2</v>
      </c>
    </row>
    <row r="66" spans="1:4">
      <c r="A66" s="124" t="s">
        <v>50</v>
      </c>
      <c r="B66" s="124"/>
      <c r="C66" s="124"/>
      <c r="D66" s="124" t="s">
        <v>2</v>
      </c>
    </row>
    <row r="67" spans="1:4">
      <c r="A67" s="124" t="s">
        <v>51</v>
      </c>
      <c r="B67" s="124"/>
      <c r="C67" s="124"/>
      <c r="D67" s="124" t="s">
        <v>2</v>
      </c>
    </row>
    <row r="68" spans="1:4">
      <c r="A68" s="124" t="s">
        <v>52</v>
      </c>
      <c r="B68" s="124"/>
      <c r="C68" s="124"/>
      <c r="D68" s="124" t="s">
        <v>2</v>
      </c>
    </row>
    <row r="69" spans="1:4">
      <c r="A69" s="124" t="s">
        <v>53</v>
      </c>
      <c r="B69" s="124"/>
      <c r="C69" s="124"/>
      <c r="D69" s="124" t="s">
        <v>2</v>
      </c>
    </row>
    <row r="70" spans="1:4">
      <c r="A70" s="124" t="s">
        <v>66</v>
      </c>
      <c r="B70" s="124"/>
      <c r="C70" s="124"/>
      <c r="D70" s="124" t="s">
        <v>2</v>
      </c>
    </row>
    <row r="71" spans="1:4">
      <c r="A71" s="124" t="s">
        <v>57</v>
      </c>
      <c r="B71" s="124"/>
      <c r="C71" s="124"/>
      <c r="D71" s="124" t="s">
        <v>2</v>
      </c>
    </row>
    <row r="72" spans="1:4">
      <c r="A72" s="124" t="s">
        <v>66</v>
      </c>
      <c r="B72" s="124"/>
      <c r="C72" s="124"/>
      <c r="D72" s="124" t="s">
        <v>2</v>
      </c>
    </row>
    <row r="73" spans="1:4">
      <c r="A73" s="138" t="s">
        <v>58</v>
      </c>
      <c r="B73" s="124"/>
      <c r="C73" s="124"/>
      <c r="D73" s="124" t="s">
        <v>2</v>
      </c>
    </row>
    <row r="74" spans="1:4">
      <c r="A74" s="124" t="s">
        <v>59</v>
      </c>
      <c r="B74" s="124"/>
      <c r="C74" s="124"/>
      <c r="D74" s="124" t="s">
        <v>2</v>
      </c>
    </row>
    <row r="75" spans="1:4">
      <c r="B75" s="124"/>
      <c r="C75" s="124"/>
      <c r="D75" s="124" t="s">
        <v>2</v>
      </c>
    </row>
    <row r="76" spans="1:4">
      <c r="B76" s="138"/>
      <c r="C76" s="124"/>
      <c r="D76" s="124" t="s">
        <v>2</v>
      </c>
    </row>
    <row r="77" spans="1:4">
      <c r="B77" s="124"/>
      <c r="C77" s="124"/>
      <c r="D77" s="124" t="s">
        <v>2</v>
      </c>
    </row>
    <row r="78" spans="1:4">
      <c r="D78" s="124" t="s">
        <v>2</v>
      </c>
    </row>
    <row r="111" spans="1:1">
      <c r="A111" s="139"/>
    </row>
    <row r="114" spans="2:2">
      <c r="B114" s="140"/>
    </row>
  </sheetData>
  <conditionalFormatting sqref="B2">
    <cfRule type="duplicateValues" dxfId="0" priority="17"/>
  </conditionalFormatting>
  <conditionalFormatting sqref="B7">
    <cfRule type="duplicateValues" dxfId="0" priority="5"/>
  </conditionalFormatting>
  <conditionalFormatting sqref="C12">
    <cfRule type="duplicateValues" dxfId="0" priority="10"/>
  </conditionalFormatting>
  <conditionalFormatting sqref="B18">
    <cfRule type="duplicateValues" dxfId="0" priority="4"/>
  </conditionalFormatting>
  <conditionalFormatting sqref="C18">
    <cfRule type="duplicateValues" dxfId="0" priority="6"/>
  </conditionalFormatting>
  <conditionalFormatting sqref="D40">
    <cfRule type="duplicateValues" dxfId="0" priority="8"/>
  </conditionalFormatting>
  <conditionalFormatting sqref="C42">
    <cfRule type="duplicateValues" dxfId="0" priority="1"/>
  </conditionalFormatting>
  <conditionalFormatting sqref="D53">
    <cfRule type="duplicateValues" dxfId="0" priority="3"/>
  </conditionalFormatting>
  <conditionalFormatting sqref="C56">
    <cfRule type="duplicateValues" dxfId="0" priority="2"/>
  </conditionalFormatting>
  <conditionalFormatting sqref="B3:B4">
    <cfRule type="duplicateValues" dxfId="0" priority="9"/>
  </conditionalFormatting>
  <conditionalFormatting sqref="C6:C7">
    <cfRule type="duplicateValues" dxfId="0" priority="14"/>
  </conditionalFormatting>
  <conditionalFormatting sqref="C1:C5;C9:C10;C13:C17;C19;B20;C21:C25;C27:C35;C43:C51;C54:C55;D57;C58:C1048576">
    <cfRule type="duplicateValues" dxfId="0" priority="18"/>
  </conditionalFormatting>
  <hyperlinks>
    <hyperlink ref="E19" r:id="rId3" display="https://i.imgur.com/JKbKYrO.png"/>
    <hyperlink ref="C11" r:id="rId4" display="https://res.cloudinary.com/u0xebdyd/image/upload/v1788813170/claude-twitter-summary.png" tooltip="https://res.cloudinary.com/u0xebdyd/image/upload/v1788813170/claude-twitter-summary.png"/>
    <hyperlink ref="C8" r:id="rId5" display="https://res.cloudinary.com/u0xebdyd/image/upload/v1788813438/claude-og.png" tooltip="https://res.cloudinary.com/u0xebdyd/image/upload/v1788813438/claude-og.png"/>
  </hyperlinks>
  <pageMargins left="0.7" right="0.7" top="0.75" bottom="0.75" header="0.3" footer="0.3"/>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3"/>
  <sheetViews>
    <sheetView workbookViewId="0">
      <pane ySplit="1" topLeftCell="A2" activePane="bottomLeft" state="frozen"/>
      <selection/>
      <selection pane="bottomLeft" activeCell="B13" sqref="B13"/>
    </sheetView>
  </sheetViews>
  <sheetFormatPr defaultColWidth="9" defaultRowHeight="16.2" zeroHeight="1"/>
  <cols>
    <col min="1" max="1" width="11" style="83" customWidth="1"/>
    <col min="2" max="2" width="73.6" style="24" customWidth="1"/>
    <col min="3" max="3" width="110.3" style="84" customWidth="1"/>
    <col min="4" max="4" width="50.5" style="81" customWidth="1"/>
    <col min="5" max="9" width="3.5" style="81" customWidth="1"/>
    <col min="10" max="10" width="11.8" style="81" customWidth="1"/>
    <col min="11" max="16384" width="9" style="81"/>
  </cols>
  <sheetData>
    <row r="1" ht="16.95" spans="1:11">
      <c r="B1" s="81"/>
      <c r="C1" s="85"/>
      <c r="E1" s="84" t="s">
        <v>98</v>
      </c>
      <c r="F1" s="86" t="s">
        <v>99</v>
      </c>
      <c r="G1" s="81" t="s">
        <v>100</v>
      </c>
      <c r="H1" s="87" t="s">
        <v>101</v>
      </c>
      <c r="J1" s="81" t="s">
        <v>102</v>
      </c>
      <c r="K1" s="88" t="e">
        <f>IF(B9&lt;&gt;"",CONCATENATE("id=",'&lt;!--  Principal  --&gt;'!Comillas,#REF!,'&lt;!--  Principal  --&gt;'!Comillas),"")</f>
        <v>#REF!</v>
      </c>
    </row>
    <row r="2" spans="1:11">
      <c r="A2" s="89"/>
      <c r="B2" s="90"/>
      <c r="C2" s="91" t="s">
        <v>103</v>
      </c>
      <c r="D2" s="81" t="str">
        <f t="shared" ref="D2:D13" si="0">""</f>
        <v/>
      </c>
      <c r="F2" s="92"/>
    </row>
    <row r="3" spans="1:11">
      <c r="B3" s="81"/>
      <c r="C3" s="93" t="str">
        <f>CONCATENATE("&lt;div class=",Comillas,"container-fluid",Comillas,B10,"&gt;")</f>
        <v>&lt;div class="container-fluid"id="claude-introduccion"&gt;</v>
      </c>
      <c r="D3" s="81" t="str">
        <f t="shared" si="0"/>
        <v/>
      </c>
      <c r="F3" s="92"/>
    </row>
    <row r="4" spans="1:11">
      <c r="B4" s="81"/>
      <c r="C4" s="94" t="s">
        <v>104</v>
      </c>
      <c r="D4" s="81" t="str">
        <f t="shared" si="0"/>
        <v/>
      </c>
      <c r="F4" s="92"/>
    </row>
    <row r="5" spans="1:11">
      <c r="A5" s="88"/>
      <c r="B5" s="81"/>
      <c r="C5" s="94" t="s">
        <v>105</v>
      </c>
      <c r="D5" s="81" t="str">
        <f t="shared" si="0"/>
        <v/>
      </c>
      <c r="F5" s="92"/>
    </row>
    <row r="6" spans="1:11">
      <c r="A6" s="88"/>
      <c r="B6" s="81"/>
      <c r="C6" s="94" t="str">
        <f>CONCATENATE("&lt;!--  ",$B$8,"--&gt;")</f>
        <v>&lt;!--  Claude: Introducción--&gt;</v>
      </c>
      <c r="D6" s="81" t="str">
        <f t="shared" si="0"/>
        <v/>
      </c>
      <c r="F6" s="92"/>
    </row>
    <row r="7" ht="32.4" spans="1:11">
      <c r="A7" s="88"/>
      <c r="B7" s="81"/>
      <c r="C7" s="95" t="s">
        <v>106</v>
      </c>
      <c r="D7" s="81" t="str">
        <f t="shared" si="0"/>
        <v/>
      </c>
      <c r="F7" s="92"/>
    </row>
    <row r="8" spans="1:11">
      <c r="A8" s="88" t="s">
        <v>107</v>
      </c>
      <c r="B8" s="96" t="str">
        <f>'&lt;head&gt;'!B2</f>
        <v>Claude: Introducción</v>
      </c>
      <c r="C8" s="94" t="str">
        <f>CONCATENATE("&lt;header&gt;&lt;h1&gt;",B8,"&lt;/h1&gt;&lt;/header&gt;")</f>
        <v>&lt;header&gt;&lt;h1&gt;Claude: Introducción&lt;/h1&gt;&lt;/header&gt;</v>
      </c>
      <c r="D8" s="81" t="str">
        <f t="shared" si="0"/>
        <v/>
      </c>
      <c r="F8" s="92"/>
    </row>
    <row r="9" ht="16.95" spans="1:11">
      <c r="A9" s="88"/>
      <c r="B9" s="97" t="str">
        <f>SUBSTITUTE(SUBSTITUTE(SUBSTITUTE(SUBSTITUTE(SUBSTITUTE(SUBSTITUTE(SUBSTITUTE(SUBSTITUTE(SUBSTITUTE(LOWER(B8)," ","-"),"¿",""),"?",""),"é","e"),"á","a"),"ñ","n"),"í","i"),"ó","o"),":","")</f>
        <v>claude-introduccion</v>
      </c>
      <c r="C9" s="94" t="str">
        <f>IF($B$8&lt;&gt;"",CONCATENATE("&lt;!-- ",B8," --&gt;"))</f>
        <v>&lt;!-- Claude: Introducción --&gt;</v>
      </c>
      <c r="D9" s="81" t="str">
        <f t="shared" si="0"/>
        <v/>
      </c>
      <c r="F9" s="92"/>
    </row>
    <row r="10" spans="1:11">
      <c r="A10" s="98" t="s">
        <v>108</v>
      </c>
      <c r="B10" s="94" t="str">
        <f>CONCATENATE("id=",'&lt;!--  Principal  --&gt;'!Comillas,B9,'&lt;!--  Principal  --&gt;'!Comillas)</f>
        <v>id="claude-introduccion"</v>
      </c>
      <c r="C10" s="94" t="str">
        <f>IF(B8&lt;&gt;"",CONCATENATE("&lt;div ",$A$10,""))</f>
        <v>&lt;div class="mt-3"&gt;</v>
      </c>
      <c r="D10" s="81" t="str">
        <f t="shared" si="0"/>
        <v/>
      </c>
      <c r="F10" s="92"/>
    </row>
    <row r="11" s="81" customFormat="1" spans="1:11">
      <c r="A11" s="88"/>
      <c r="C11" s="94" t="s">
        <v>109</v>
      </c>
      <c r="D11" s="81" t="str">
        <f t="shared" si="0"/>
        <v/>
      </c>
      <c r="F11" s="92"/>
    </row>
    <row r="12" spans="1:11">
      <c r="A12" s="88"/>
      <c r="B12" s="95"/>
      <c r="C12" s="94" t="s">
        <v>110</v>
      </c>
      <c r="D12" s="81" t="str">
        <f t="shared" si="0"/>
        <v/>
      </c>
      <c r="F12" s="92"/>
    </row>
    <row r="13" spans="1:11">
      <c r="A13" s="88" t="s">
        <v>111</v>
      </c>
      <c r="B13" s="99" t="str">
        <f>'&lt;head&gt;'!C8</f>
        <v>https://res.cloudinary.com/u0xebdyd/image/upload/v1788813438/claude-og.png</v>
      </c>
      <c r="C13" s="94" t="str">
        <f>CONCATENATE("&lt;img src=",Comilla,B13,Comilla)</f>
        <v>&lt;img src="https://res.cloudinary.com/u0xebdyd/image/upload/v1788813438/claude-og.png"</v>
      </c>
      <c r="F13" s="92"/>
    </row>
    <row r="14" spans="1:11">
      <c r="A14" s="88"/>
      <c r="B14" s="15"/>
      <c r="C14" s="94" t="s">
        <v>112</v>
      </c>
      <c r="F14" s="92"/>
    </row>
    <row r="15" spans="1:11">
      <c r="A15" s="88"/>
      <c r="B15" s="15"/>
      <c r="C15" s="94" t="str">
        <f>CONCATENATE("alt=",Comilla,'&lt;head&gt;'!C14,Comilla)</f>
        <v>alt="Logotipo de Claude, asistente de inteligencia artificial"</v>
      </c>
      <c r="F15" s="92"/>
    </row>
    <row r="16" spans="1:11">
      <c r="A16" s="88"/>
      <c r="B16" s="15"/>
      <c r="C16" s="94" t="str">
        <f>CONCATENATE("title=",Comilla,'&lt;head&gt;'!C15,Comilla)</f>
        <v>title="Claude - Introducción a la inteligencia artificial de Anthropic"</v>
      </c>
      <c r="F16" s="92"/>
    </row>
    <row r="17" spans="1:6">
      <c r="A17" s="88"/>
      <c r="B17" s="15"/>
      <c r="C17" s="94" t="s">
        <v>113</v>
      </c>
      <c r="F17" s="92"/>
    </row>
    <row r="18" spans="1:6">
      <c r="A18" s="88" t="s">
        <v>161</v>
      </c>
      <c r="B18" s="100"/>
      <c r="C18" s="94" t="str">
        <f>" /&gt;"</f>
        <v> /&gt;</v>
      </c>
      <c r="F18" s="92"/>
    </row>
    <row r="19" spans="1:6">
      <c r="A19" s="88">
        <v>0</v>
      </c>
      <c r="B19" s="95"/>
      <c r="C19" s="94" t="s">
        <v>102</v>
      </c>
      <c r="F19" s="92"/>
    </row>
    <row r="20" spans="1:6">
      <c r="A20" s="88" t="s">
        <v>114</v>
      </c>
      <c r="B20" s="95"/>
      <c r="C20" s="94" t="str">
        <f>'&lt;head&gt;'!C16</f>
        <v>Claude, el asistente de inteligencia artificial desarrollado por Anthropic</v>
      </c>
      <c r="F20" s="92"/>
    </row>
    <row r="21" spans="1:6">
      <c r="A21" s="88"/>
      <c r="B21" s="81" t="str">
        <f>""</f>
        <v/>
      </c>
      <c r="C21" s="94" t="s">
        <v>115</v>
      </c>
      <c r="D21" s="81" t="str">
        <f t="shared" ref="D21:D23" si="1">""</f>
        <v/>
      </c>
      <c r="F21" s="92"/>
    </row>
    <row r="22" spans="1:6">
      <c r="A22" s="88"/>
      <c r="C22" s="94" t="s">
        <v>116</v>
      </c>
      <c r="D22" s="81" t="str">
        <f t="shared" si="1"/>
        <v/>
      </c>
      <c r="F22" s="92"/>
    </row>
    <row r="23" ht="16.95" spans="1:6">
      <c r="A23" s="88"/>
      <c r="B23" s="81"/>
      <c r="C23" s="94" t="s">
        <v>117</v>
      </c>
      <c r="D23" s="81" t="str">
        <f t="shared" si="1"/>
        <v/>
      </c>
      <c r="F23" s="92"/>
    </row>
    <row r="24" spans="1:6">
      <c r="A24" s="88"/>
      <c r="B24" s="101"/>
      <c r="C24" s="94" t="str">
        <f t="shared" ref="C24:C26" si="2">CONCATENATE("&lt;p&gt;",B24,"&lt;/p&gt;")</f>
        <v>&lt;p&gt;&lt;/p&gt;</v>
      </c>
      <c r="F24" s="92"/>
    </row>
    <row r="25" spans="1:6">
      <c r="A25" s="88"/>
      <c r="B25" s="102"/>
      <c r="C25" s="94" t="str">
        <f t="shared" si="2"/>
        <v>&lt;p&gt;&lt;/p&gt;</v>
      </c>
      <c r="F25" s="92"/>
    </row>
    <row r="26" ht="16.95" spans="1:6">
      <c r="A26" s="88"/>
      <c r="B26" s="97"/>
      <c r="C26" s="94" t="str">
        <f t="shared" si="2"/>
        <v>&lt;p&gt;&lt;/p&gt;</v>
      </c>
      <c r="F26" s="92"/>
    </row>
    <row r="27" spans="1:6">
      <c r="A27" s="88"/>
      <c r="B27" s="81"/>
      <c r="C27" s="94" t="s">
        <v>117</v>
      </c>
      <c r="D27" s="81" t="str">
        <f t="shared" ref="D27:D90" si="3">""</f>
        <v/>
      </c>
      <c r="F27" s="92"/>
    </row>
    <row r="28" spans="1:6">
      <c r="A28" s="88"/>
      <c r="B28" s="94" t="str">
        <f>""</f>
        <v/>
      </c>
      <c r="C28" s="94" t="str">
        <f>IF($B$8&lt;&gt;"","&lt;!-- Introducción Fin --&gt;","")</f>
        <v>&lt;!-- Introducción Fin --&gt;</v>
      </c>
      <c r="D28" s="81" t="str">
        <f t="shared" si="3"/>
        <v/>
      </c>
      <c r="F28" s="92"/>
    </row>
    <row r="29" ht="16.95" spans="1:6">
      <c r="A29" s="103"/>
      <c r="B29" s="104"/>
      <c r="C29" s="105" t="s">
        <v>118</v>
      </c>
      <c r="D29" s="81" t="str">
        <f t="shared" si="3"/>
        <v/>
      </c>
      <c r="F29" s="92"/>
    </row>
    <row r="30" ht="16.95" spans="1:6">
      <c r="A30" s="86"/>
      <c r="B30" s="81"/>
      <c r="C30" s="93" t="str">
        <f>""</f>
        <v/>
      </c>
      <c r="D30" s="81" t="str">
        <f t="shared" si="3"/>
        <v/>
      </c>
      <c r="F30" s="92"/>
    </row>
    <row r="31" ht="16.95" spans="1:6">
      <c r="A31" s="89">
        <f>A19+1</f>
        <v>1</v>
      </c>
      <c r="B31" s="106" t="str">
        <f t="shared" ref="B31:B35" si="4">""</f>
        <v/>
      </c>
      <c r="C31" s="107" t="str">
        <f>IF(B32&lt;&gt;"",CONCATENATE("&lt;!-- ",B32," --&gt;"),"")</f>
        <v>&lt;!-- asd y df --&gt;</v>
      </c>
      <c r="D31" s="81" t="str">
        <f t="shared" si="3"/>
        <v/>
      </c>
      <c r="F31" s="92"/>
    </row>
    <row r="32" spans="1:6">
      <c r="A32" s="88" t="str">
        <f>CONCATENATE("Area de trabajo ",A31)</f>
        <v>Area de trabajo 1</v>
      </c>
      <c r="B32" s="101" t="s">
        <v>162</v>
      </c>
      <c r="C32" s="108" t="str">
        <f>IF(B32&lt;&gt;"","&lt;div","")</f>
        <v>&lt;div</v>
      </c>
      <c r="D32" s="81" t="str">
        <f t="shared" si="3"/>
        <v/>
      </c>
      <c r="F32" s="92"/>
    </row>
    <row r="33" ht="16.95" spans="1:6">
      <c r="A33" s="88" t="str">
        <f>CONCATENATE(LOWER("area-de-trabajo-"),A31)</f>
        <v>area-de-trabajo-1</v>
      </c>
      <c r="B33" s="97" t="str">
        <f>SUBSTITUTE(SUBSTITUTE(SUBSTITUTE(SUBSTITUTE(SUBSTITUTE(SUBSTITUTE(SUBSTITUTE(SUBSTITUTE(SUBSTITUTE(LOWER(B32)," ","-"),"¿",""),"?",""),"é","e"),"á","a"),"ñ","n"),"í","i"),"ó","o"),":","")</f>
        <v>asd-y-df</v>
      </c>
      <c r="C33" s="94" t="str">
        <f>IF(B32&lt;&gt;"",CONCATENATE("id=",'&lt;!--  Principal  --&gt;'!Comillas,B33,'&lt;!--  Principal  --&gt;'!Comillas),"")</f>
        <v>id="asd-y-df"</v>
      </c>
      <c r="D33" s="81" t="str">
        <f t="shared" si="3"/>
        <v/>
      </c>
      <c r="F33" s="92"/>
    </row>
    <row r="34" spans="1:6">
      <c r="A34" s="88"/>
      <c r="B34" s="98" t="str">
        <f t="shared" si="4"/>
        <v/>
      </c>
      <c r="C34" s="94" t="str">
        <f>IF(B32&lt;&gt;"",$A$10,"")</f>
        <v>class="mt-3"&gt;</v>
      </c>
      <c r="D34" s="81" t="str">
        <f t="shared" si="3"/>
        <v/>
      </c>
      <c r="F34" s="92"/>
    </row>
    <row r="35" ht="16.95" spans="1:6">
      <c r="A35" s="88"/>
      <c r="B35" s="98" t="str">
        <f t="shared" si="4"/>
        <v/>
      </c>
      <c r="C35" s="94" t="str">
        <f>IF(B32&lt;&gt;"",CONCATENATE("&lt;h2&gt;",B32,"&lt;/h2&gt;"),"")</f>
        <v>&lt;h2&gt;asd y df&lt;/h2&gt;</v>
      </c>
      <c r="D35" s="81" t="str">
        <f t="shared" si="3"/>
        <v/>
      </c>
      <c r="F35" s="92"/>
    </row>
    <row r="36" ht="16.95" spans="1:6">
      <c r="A36" s="88"/>
      <c r="B36" s="109" t="str">
        <f>IF(B32&lt;&gt;"","Lorem ipsum dolor sit amet consectetur adipisicing elit. Consectetur aut, nobis quam, natus eaque atque unde mollitia nostrum, reprehenderit ipsa aliquid voluptatibus? Perspiciatis corrupti.","")</f>
        <v>Lorem ipsum dolor sit amet consectetur adipisicing elit. Consectetur aut, nobis quam, natus eaque atque unde mollitia nostrum, reprehenderit ipsa aliquid voluptatibus? Perspiciatis corrupti.</v>
      </c>
      <c r="C36" s="108" t="str">
        <f>IF(B32&lt;&gt;"",CONCATENATE("&lt;p&gt;",B36,"&lt;/p&gt;"),"")</f>
        <v>&lt;p&gt;Lorem ipsum dolor sit amet consectetur adipisicing elit. Consectetur aut, nobis quam, natus eaque atque unde mollitia nostrum, reprehenderit ipsa aliquid voluptatibus? Perspiciatis corrupti.&lt;/p&gt;</v>
      </c>
      <c r="D36" s="81" t="str">
        <f t="shared" si="3"/>
        <v/>
      </c>
      <c r="F36" s="92"/>
    </row>
    <row r="37" spans="1:6">
      <c r="A37" s="88"/>
      <c r="B37" s="98" t="str">
        <f t="shared" ref="B37:B41" si="5">""</f>
        <v/>
      </c>
      <c r="C37" s="94" t="str">
        <f>IF(B32&lt;&gt;"","&lt;/div&gt;","")</f>
        <v>&lt;/div&gt;</v>
      </c>
      <c r="D37" s="81" t="str">
        <f t="shared" si="3"/>
        <v/>
      </c>
      <c r="F37" s="92"/>
    </row>
    <row r="38" spans="1:6">
      <c r="A38" s="88"/>
      <c r="B38" s="98" t="str">
        <f t="shared" si="5"/>
        <v/>
      </c>
      <c r="C38" s="93" t="str">
        <f>IF(B32&lt;&gt;"",CONCATENATE("&lt;!-- ",B32," Fin --&gt;"),"")</f>
        <v>&lt;!-- asd y df Fin --&gt;</v>
      </c>
      <c r="D38" s="81" t="str">
        <f t="shared" si="3"/>
        <v/>
      </c>
      <c r="F38" s="92"/>
    </row>
    <row r="39" ht="16.95" spans="1:6">
      <c r="A39" s="103"/>
      <c r="B39" s="104" t="str">
        <f t="shared" si="5"/>
        <v/>
      </c>
      <c r="C39" s="105" t="str">
        <f>IF(AND(B32&lt;&gt;"",B42&lt;&gt;""),$C$29,"")</f>
        <v>&lt;hr class="subtle-divider" /&gt;</v>
      </c>
      <c r="D39" s="81" t="str">
        <f t="shared" si="3"/>
        <v/>
      </c>
      <c r="F39" s="92"/>
    </row>
    <row r="40" ht="16.95" spans="1:6">
      <c r="A40" s="86"/>
      <c r="B40" s="81" t="str">
        <f t="shared" si="5"/>
        <v/>
      </c>
      <c r="C40" s="93" t="str">
        <f>""</f>
        <v/>
      </c>
      <c r="D40" s="81" t="str">
        <f t="shared" si="3"/>
        <v/>
      </c>
      <c r="F40" s="92"/>
    </row>
    <row r="41" ht="16.95" spans="1:6">
      <c r="A41" s="89">
        <f>A31+1</f>
        <v>2</v>
      </c>
      <c r="B41" s="106" t="str">
        <f t="shared" si="5"/>
        <v/>
      </c>
      <c r="C41" s="107" t="str">
        <f>IF(B42&lt;&gt;"",CONCATENATE("&lt;!-- ",B42," --&gt;"),"")</f>
        <v>&lt;!-- Características de Claude Cowork --&gt;</v>
      </c>
      <c r="D41" s="81" t="str">
        <f t="shared" si="3"/>
        <v/>
      </c>
      <c r="F41" s="92"/>
    </row>
    <row r="42" spans="1:6">
      <c r="A42" s="88" t="str">
        <f>CONCATENATE("Area de trabajo ",A41)</f>
        <v>Area de trabajo 2</v>
      </c>
      <c r="B42" s="101" t="s">
        <v>163</v>
      </c>
      <c r="C42" s="108" t="str">
        <f>IF(B42&lt;&gt;"","&lt;div","")</f>
        <v>&lt;div</v>
      </c>
      <c r="D42" s="81" t="str">
        <f t="shared" si="3"/>
        <v/>
      </c>
      <c r="F42" s="92"/>
    </row>
    <row r="43" ht="16.95" spans="1:6">
      <c r="A43" s="88" t="str">
        <f>CONCATENATE(LOWER("area-de-trabajo-"),A41)</f>
        <v>area-de-trabajo-2</v>
      </c>
      <c r="B43" s="97" t="str">
        <f>SUBSTITUTE(SUBSTITUTE(SUBSTITUTE(SUBSTITUTE(SUBSTITUTE(SUBSTITUTE(SUBSTITUTE(SUBSTITUTE(SUBSTITUTE(LOWER(B42)," ","-"),"¿",""),"?",""),"é","e"),"á","a"),"ñ","n"),"í","i"),"ó","o"),":","")</f>
        <v>caracteristicas-de-claude-cowork</v>
      </c>
      <c r="C43" s="94" t="str">
        <f>IF(B42&lt;&gt;"",CONCATENATE("id=",'&lt;!--  Principal  --&gt;'!Comillas,B43,'&lt;!--  Principal  --&gt;'!Comillas),"")</f>
        <v>id="caracteristicas-de-claude-cowork"</v>
      </c>
      <c r="D43" s="81" t="str">
        <f t="shared" si="3"/>
        <v/>
      </c>
      <c r="F43" s="92"/>
    </row>
    <row r="44" spans="1:6">
      <c r="A44" s="88"/>
      <c r="B44" s="98" t="str">
        <f t="shared" ref="B44:B51" si="6">""</f>
        <v/>
      </c>
      <c r="C44" s="94" t="str">
        <f>IF(B42&lt;&gt;"",$A$10,"")</f>
        <v>class="mt-3"&gt;</v>
      </c>
      <c r="D44" s="81" t="str">
        <f t="shared" si="3"/>
        <v/>
      </c>
      <c r="F44" s="92"/>
    </row>
    <row r="45" ht="16.95" spans="1:6">
      <c r="A45" s="88"/>
      <c r="B45" s="98" t="str">
        <f t="shared" si="6"/>
        <v/>
      </c>
      <c r="C45" s="94" t="str">
        <f>IF(B42&lt;&gt;"",CONCATENATE("&lt;h2&gt;",B42,"&lt;/h2&gt;"),"")</f>
        <v>&lt;h2&gt;Características de Claude Cowork&lt;/h2&gt;</v>
      </c>
      <c r="D45" s="81" t="str">
        <f t="shared" si="3"/>
        <v/>
      </c>
      <c r="F45" s="92"/>
    </row>
    <row r="46" ht="16.95" spans="1:6">
      <c r="A46" s="88"/>
      <c r="B46" s="109" t="str">
        <f>IF(B42&lt;&gt;"","Lorem ipsum dolor sit amet consectetur adipisicing elit. Consectetur aut, nobis quam, natus eaque atque unde mollitia nostrum, reprehenderit ipsa aliquid voluptatibus? Perspiciatis corrupti.","")</f>
        <v>Lorem ipsum dolor sit amet consectetur adipisicing elit. Consectetur aut, nobis quam, natus eaque atque unde mollitia nostrum, reprehenderit ipsa aliquid voluptatibus? Perspiciatis corrupti.</v>
      </c>
      <c r="C46" s="108" t="str">
        <f>IF(B42&lt;&gt;"",CONCATENATE("&lt;p&gt;",B46,"&lt;/p&gt;"),"")</f>
        <v>&lt;p&gt;Lorem ipsum dolor sit amet consectetur adipisicing elit. Consectetur aut, nobis quam, natus eaque atque unde mollitia nostrum, reprehenderit ipsa aliquid voluptatibus? Perspiciatis corrupti.&lt;/p&gt;</v>
      </c>
      <c r="D46" s="81" t="str">
        <f t="shared" si="3"/>
        <v/>
      </c>
      <c r="F46" s="92"/>
    </row>
    <row r="47" spans="1:6">
      <c r="A47" s="88"/>
      <c r="B47" s="98" t="str">
        <f t="shared" si="6"/>
        <v/>
      </c>
      <c r="C47" s="94" t="str">
        <f>IF(B42&lt;&gt;"","&lt;/div&gt;","")</f>
        <v>&lt;/div&gt;</v>
      </c>
      <c r="D47" s="81" t="str">
        <f t="shared" si="3"/>
        <v/>
      </c>
      <c r="F47" s="92"/>
    </row>
    <row r="48" spans="1:6">
      <c r="A48" s="88"/>
      <c r="B48" s="98" t="str">
        <f t="shared" si="6"/>
        <v/>
      </c>
      <c r="C48" s="93" t="str">
        <f>IF(B42&lt;&gt;"",CONCATENATE("&lt;!-- ",B42," Fin --&gt;"),"")</f>
        <v>&lt;!-- Características de Claude Cowork Fin --&gt;</v>
      </c>
      <c r="D48" s="81" t="str">
        <f t="shared" si="3"/>
        <v/>
      </c>
      <c r="F48" s="92"/>
    </row>
    <row r="49" ht="16.95" spans="1:6">
      <c r="A49" s="103"/>
      <c r="B49" s="104" t="str">
        <f t="shared" si="6"/>
        <v/>
      </c>
      <c r="C49" s="105" t="str">
        <f>IF(AND(B42&lt;&gt;"",B52&lt;&gt;""),$C$29,"")</f>
        <v>&lt;hr class="subtle-divider" /&gt;</v>
      </c>
      <c r="D49" s="81" t="str">
        <f t="shared" si="3"/>
        <v/>
      </c>
      <c r="F49" s="92"/>
    </row>
    <row r="50" ht="16.95" spans="1:6">
      <c r="A50" s="86"/>
      <c r="B50" s="81" t="str">
        <f t="shared" si="6"/>
        <v/>
      </c>
      <c r="C50" s="93" t="str">
        <f>""</f>
        <v/>
      </c>
      <c r="D50" s="81" t="str">
        <f t="shared" si="3"/>
        <v/>
      </c>
      <c r="F50" s="92"/>
    </row>
    <row r="51" ht="16.95" spans="1:6">
      <c r="A51" s="89">
        <f>A41+1</f>
        <v>3</v>
      </c>
      <c r="B51" s="106" t="str">
        <f t="shared" si="6"/>
        <v/>
      </c>
      <c r="C51" s="107" t="str">
        <f>IF(B52&lt;&gt;"",CONCATENATE("&lt;!-- ",B52," --&gt;"),"")</f>
        <v>&lt;!-- Beneficios de Trabajar en Claude Cowork --&gt;</v>
      </c>
      <c r="D51" s="81" t="str">
        <f t="shared" si="3"/>
        <v/>
      </c>
      <c r="F51" s="92"/>
    </row>
    <row r="52" spans="1:6">
      <c r="A52" s="88" t="str">
        <f>CONCATENATE("Area de trabajo ",A51)</f>
        <v>Area de trabajo 3</v>
      </c>
      <c r="B52" s="101" t="s">
        <v>164</v>
      </c>
      <c r="C52" s="108" t="str">
        <f>IF(B52&lt;&gt;"","&lt;div","")</f>
        <v>&lt;div</v>
      </c>
      <c r="D52" s="81" t="str">
        <f t="shared" si="3"/>
        <v/>
      </c>
      <c r="F52" s="92"/>
    </row>
    <row r="53" ht="16.95" spans="1:6">
      <c r="A53" s="88" t="str">
        <f>CONCATENATE(LOWER("area-de-trabajo-"),A51)</f>
        <v>area-de-trabajo-3</v>
      </c>
      <c r="B53" s="97" t="str">
        <f>SUBSTITUTE(SUBSTITUTE(SUBSTITUTE(SUBSTITUTE(SUBSTITUTE(SUBSTITUTE(SUBSTITUTE(SUBSTITUTE(SUBSTITUTE(LOWER(B52)," ","-"),"¿",""),"?",""),"é","e"),"á","a"),"ñ","n"),"í","i"),"ó","o"),":","")</f>
        <v>beneficios-de-trabajar-en-claude-cowork</v>
      </c>
      <c r="C53" s="94" t="str">
        <f>IF(B52&lt;&gt;"",CONCATENATE("id=",'&lt;!--  Principal  --&gt;'!Comillas,B53,'&lt;!--  Principal  --&gt;'!Comillas),"")</f>
        <v>id="beneficios-de-trabajar-en-claude-cowork"</v>
      </c>
      <c r="D53" s="81" t="str">
        <f t="shared" si="3"/>
        <v/>
      </c>
      <c r="F53" s="92"/>
    </row>
    <row r="54" spans="1:6">
      <c r="A54" s="88"/>
      <c r="B54" s="98" t="str">
        <f t="shared" ref="B54:B61" si="7">""</f>
        <v/>
      </c>
      <c r="C54" s="94" t="str">
        <f>IF(B52&lt;&gt;"",$A$10,"")</f>
        <v>class="mt-3"&gt;</v>
      </c>
      <c r="D54" s="81" t="str">
        <f t="shared" si="3"/>
        <v/>
      </c>
      <c r="F54" s="92"/>
    </row>
    <row r="55" ht="16.95" spans="1:6">
      <c r="A55" s="88"/>
      <c r="B55" s="98" t="str">
        <f t="shared" si="7"/>
        <v/>
      </c>
      <c r="C55" s="94" t="str">
        <f>IF(B52&lt;&gt;"",CONCATENATE("&lt;h2&gt;",B52,"&lt;/h2&gt;"),"")</f>
        <v>&lt;h2&gt;Beneficios de Trabajar en Claude Cowork&lt;/h2&gt;</v>
      </c>
      <c r="D55" s="81" t="str">
        <f t="shared" si="3"/>
        <v/>
      </c>
      <c r="F55" s="92"/>
    </row>
    <row r="56" ht="16.95" spans="1:6">
      <c r="A56" s="88"/>
      <c r="B56" s="109" t="str">
        <f>IF(B52&lt;&gt;"","Lorem ipsum dolor sit amet consectetur adipisicing elit. Consectetur aut, nobis quam, natus eaque atque unde mollitia nostrum, reprehenderit ipsa aliquid voluptatibus? Perspiciatis corrupti.","")</f>
        <v>Lorem ipsum dolor sit amet consectetur adipisicing elit. Consectetur aut, nobis quam, natus eaque atque unde mollitia nostrum, reprehenderit ipsa aliquid voluptatibus? Perspiciatis corrupti.</v>
      </c>
      <c r="C56" s="108" t="str">
        <f>IF(B52&lt;&gt;"",CONCATENATE("&lt;p&gt;",B56,"&lt;/p&gt;"),"")</f>
        <v>&lt;p&gt;Lorem ipsum dolor sit amet consectetur adipisicing elit. Consectetur aut, nobis quam, natus eaque atque unde mollitia nostrum, reprehenderit ipsa aliquid voluptatibus? Perspiciatis corrupti.&lt;/p&gt;</v>
      </c>
      <c r="D56" s="81" t="str">
        <f t="shared" si="3"/>
        <v/>
      </c>
      <c r="F56" s="92"/>
    </row>
    <row r="57" spans="1:6">
      <c r="A57" s="88"/>
      <c r="B57" s="98" t="str">
        <f t="shared" si="7"/>
        <v/>
      </c>
      <c r="C57" s="94" t="str">
        <f>IF(B52&lt;&gt;"","&lt;/div&gt;","")</f>
        <v>&lt;/div&gt;</v>
      </c>
      <c r="D57" s="81" t="str">
        <f t="shared" si="3"/>
        <v/>
      </c>
      <c r="F57" s="92"/>
    </row>
    <row r="58" spans="1:6">
      <c r="A58" s="88"/>
      <c r="B58" s="98" t="str">
        <f t="shared" si="7"/>
        <v/>
      </c>
      <c r="C58" s="93" t="str">
        <f>IF(B52&lt;&gt;"",CONCATENATE("&lt;!-- ",B52," Fin --&gt;"),"")</f>
        <v>&lt;!-- Beneficios de Trabajar en Claude Cowork Fin --&gt;</v>
      </c>
      <c r="D58" s="81" t="str">
        <f t="shared" si="3"/>
        <v/>
      </c>
      <c r="F58" s="92"/>
    </row>
    <row r="59" ht="16.95" spans="1:6">
      <c r="A59" s="103"/>
      <c r="B59" s="104" t="str">
        <f t="shared" si="7"/>
        <v/>
      </c>
      <c r="C59" s="105" t="str">
        <f>IF(AND(B52&lt;&gt;"",B62&lt;&gt;""),$C$29,"")</f>
        <v>&lt;hr class="subtle-divider" /&gt;</v>
      </c>
      <c r="D59" s="81" t="str">
        <f t="shared" si="3"/>
        <v/>
      </c>
      <c r="F59" s="92"/>
    </row>
    <row r="60" ht="16.95" spans="1:6">
      <c r="A60" s="86"/>
      <c r="B60" s="81" t="str">
        <f t="shared" si="7"/>
        <v/>
      </c>
      <c r="C60" s="93" t="str">
        <f>""</f>
        <v/>
      </c>
      <c r="D60" s="81" t="str">
        <f t="shared" si="3"/>
        <v/>
      </c>
      <c r="F60" s="92"/>
    </row>
    <row r="61" ht="16.95" spans="1:6">
      <c r="A61" s="89">
        <f>A51+1</f>
        <v>4</v>
      </c>
      <c r="B61" s="106" t="str">
        <f t="shared" si="7"/>
        <v/>
      </c>
      <c r="C61" s="107" t="str">
        <f>IF(B62&lt;&gt;"",CONCATENATE("&lt;!-- ",B62," --&gt;"),"")</f>
        <v>&lt;!-- Filosofía de Claude Cowork --&gt;</v>
      </c>
      <c r="D61" s="81" t="str">
        <f t="shared" si="3"/>
        <v/>
      </c>
      <c r="F61" s="92"/>
    </row>
    <row r="62" spans="1:6">
      <c r="A62" s="88" t="str">
        <f>CONCATENATE("Area de trabajo ",A61)</f>
        <v>Area de trabajo 4</v>
      </c>
      <c r="B62" s="101" t="s">
        <v>165</v>
      </c>
      <c r="C62" s="108" t="str">
        <f>IF(B62&lt;&gt;"","&lt;div","")</f>
        <v>&lt;div</v>
      </c>
      <c r="D62" s="81" t="str">
        <f t="shared" si="3"/>
        <v/>
      </c>
      <c r="F62" s="92"/>
    </row>
    <row r="63" ht="16.95" spans="1:6">
      <c r="A63" s="88" t="str">
        <f>CONCATENATE(LOWER("area-de-trabajo-"),A61)</f>
        <v>area-de-trabajo-4</v>
      </c>
      <c r="B63" s="97" t="str">
        <f>SUBSTITUTE(SUBSTITUTE(SUBSTITUTE(SUBSTITUTE(SUBSTITUTE(SUBSTITUTE(SUBSTITUTE(SUBSTITUTE(SUBSTITUTE(LOWER(B62)," ","-"),"¿",""),"?",""),"é","e"),"á","a"),"ñ","n"),"í","i"),"ó","o"),":","")</f>
        <v>filosofia-de-claude-cowork</v>
      </c>
      <c r="C63" s="94" t="str">
        <f>IF(B62&lt;&gt;"",CONCATENATE("id=",'&lt;!--  Principal  --&gt;'!Comillas,B63,'&lt;!--  Principal  --&gt;'!Comillas),"")</f>
        <v>id="filosofia-de-claude-cowork"</v>
      </c>
      <c r="D63" s="81" t="str">
        <f t="shared" si="3"/>
        <v/>
      </c>
      <c r="F63" s="92"/>
    </row>
    <row r="64" spans="1:6">
      <c r="A64" s="88"/>
      <c r="B64" s="98" t="str">
        <f t="shared" ref="B64:B71" si="8">""</f>
        <v/>
      </c>
      <c r="C64" s="94" t="str">
        <f>IF(B62&lt;&gt;"",$A$10,"")</f>
        <v>class="mt-3"&gt;</v>
      </c>
      <c r="D64" s="81" t="str">
        <f t="shared" si="3"/>
        <v/>
      </c>
      <c r="F64" s="92"/>
    </row>
    <row r="65" ht="16.95" spans="1:6">
      <c r="A65" s="88"/>
      <c r="B65" s="98" t="str">
        <f t="shared" si="8"/>
        <v/>
      </c>
      <c r="C65" s="94" t="str">
        <f>IF(B62&lt;&gt;"",CONCATENATE("&lt;h2&gt;",B62,"&lt;/h2&gt;"),"")</f>
        <v>&lt;h2&gt;Filosofía de Claude Cowork&lt;/h2&gt;</v>
      </c>
      <c r="D65" s="81" t="str">
        <f t="shared" si="3"/>
        <v/>
      </c>
      <c r="F65" s="92"/>
    </row>
    <row r="66" ht="16.95" spans="1:6">
      <c r="A66" s="88"/>
      <c r="B66" s="109" t="str">
        <f>IF(B62&lt;&gt;"","Lorem ipsum dolor sit amet consectetur adipisicing elit. Consectetur aut, nobis quam, natus eaque atque unde mollitia nostrum, reprehenderit ipsa aliquid voluptatibus? Perspiciatis corrupti.","")</f>
        <v>Lorem ipsum dolor sit amet consectetur adipisicing elit. Consectetur aut, nobis quam, natus eaque atque unde mollitia nostrum, reprehenderit ipsa aliquid voluptatibus? Perspiciatis corrupti.</v>
      </c>
      <c r="C66" s="108" t="str">
        <f>IF(B62&lt;&gt;"",CONCATENATE("&lt;p&gt;",B66,"&lt;/p&gt;"),"")</f>
        <v>&lt;p&gt;Lorem ipsum dolor sit amet consectetur adipisicing elit. Consectetur aut, nobis quam, natus eaque atque unde mollitia nostrum, reprehenderit ipsa aliquid voluptatibus? Perspiciatis corrupti.&lt;/p&gt;</v>
      </c>
      <c r="D66" s="81" t="str">
        <f t="shared" si="3"/>
        <v/>
      </c>
      <c r="F66" s="92"/>
    </row>
    <row r="67" spans="1:6">
      <c r="A67" s="88"/>
      <c r="B67" s="98" t="str">
        <f t="shared" si="8"/>
        <v/>
      </c>
      <c r="C67" s="94" t="str">
        <f>IF(B62&lt;&gt;"","&lt;/div&gt;","")</f>
        <v>&lt;/div&gt;</v>
      </c>
      <c r="D67" s="81" t="str">
        <f t="shared" si="3"/>
        <v/>
      </c>
      <c r="F67" s="92"/>
    </row>
    <row r="68" spans="1:6">
      <c r="A68" s="88"/>
      <c r="B68" s="98" t="str">
        <f t="shared" si="8"/>
        <v/>
      </c>
      <c r="C68" s="93" t="str">
        <f>IF(B62&lt;&gt;"",CONCATENATE("&lt;!-- ",B62," Fin --&gt;"),"")</f>
        <v>&lt;!-- Filosofía de Claude Cowork Fin --&gt;</v>
      </c>
      <c r="D68" s="81" t="str">
        <f t="shared" si="3"/>
        <v/>
      </c>
      <c r="F68" s="92"/>
    </row>
    <row r="69" ht="16.95" spans="1:6">
      <c r="A69" s="103"/>
      <c r="B69" s="104" t="str">
        <f t="shared" si="8"/>
        <v/>
      </c>
      <c r="C69" s="105" t="str">
        <f>IF(AND(B62&lt;&gt;"",B72&lt;&gt;""),$C$29,"")</f>
        <v>&lt;hr class="subtle-divider" /&gt;</v>
      </c>
      <c r="D69" s="81" t="str">
        <f t="shared" si="3"/>
        <v/>
      </c>
      <c r="F69" s="92"/>
    </row>
    <row r="70" ht="16.95" spans="1:6">
      <c r="A70" s="86"/>
      <c r="B70" s="81" t="str">
        <f t="shared" si="8"/>
        <v/>
      </c>
      <c r="C70" s="93" t="str">
        <f>""</f>
        <v/>
      </c>
      <c r="D70" s="81" t="str">
        <f t="shared" si="3"/>
        <v/>
      </c>
      <c r="F70" s="92"/>
    </row>
    <row r="71" ht="16.95" spans="1:6">
      <c r="A71" s="89">
        <f>A61+1</f>
        <v>5</v>
      </c>
      <c r="B71" s="106" t="str">
        <f t="shared" si="8"/>
        <v/>
      </c>
      <c r="C71" s="107" t="str">
        <f>IF(B72&lt;&gt;"",CONCATENATE("&lt;!-- ",B72," --&gt;"),"")</f>
        <v>&lt;!-- Impacto en la Comunidad Profesional --&gt;</v>
      </c>
      <c r="D71" s="81" t="str">
        <f t="shared" si="3"/>
        <v/>
      </c>
      <c r="F71" s="92"/>
    </row>
    <row r="72" spans="1:6">
      <c r="A72" s="88" t="str">
        <f>CONCATENATE("Area de trabajo ",A71)</f>
        <v>Area de trabajo 5</v>
      </c>
      <c r="B72" s="101" t="s">
        <v>166</v>
      </c>
      <c r="C72" s="108" t="str">
        <f>IF(B72&lt;&gt;"","&lt;div","")</f>
        <v>&lt;div</v>
      </c>
      <c r="D72" s="81" t="str">
        <f t="shared" si="3"/>
        <v/>
      </c>
      <c r="F72" s="92"/>
    </row>
    <row r="73" ht="16.95" spans="1:6">
      <c r="A73" s="88" t="str">
        <f>CONCATENATE(LOWER("area-de-trabajo-"),A71)</f>
        <v>area-de-trabajo-5</v>
      </c>
      <c r="B73" s="97" t="str">
        <f>SUBSTITUTE(SUBSTITUTE(SUBSTITUTE(SUBSTITUTE(SUBSTITUTE(SUBSTITUTE(SUBSTITUTE(SUBSTITUTE(SUBSTITUTE(LOWER(B72)," ","-"),"¿",""),"?",""),"é","e"),"á","a"),"ñ","n"),"í","i"),"ó","o"),":","")</f>
        <v>impacto-en-la-comunidad-profesional</v>
      </c>
      <c r="C73" s="94" t="str">
        <f>IF(B72&lt;&gt;"",CONCATENATE("id=",'&lt;!--  Principal  --&gt;'!Comillas,B73,'&lt;!--  Principal  --&gt;'!Comillas),"")</f>
        <v>id="impacto-en-la-comunidad-profesional"</v>
      </c>
      <c r="D73" s="81" t="str">
        <f t="shared" si="3"/>
        <v/>
      </c>
      <c r="F73" s="92"/>
    </row>
    <row r="74" spans="1:6">
      <c r="A74" s="88"/>
      <c r="B74" s="98" t="str">
        <f t="shared" ref="B74:B81" si="9">""</f>
        <v/>
      </c>
      <c r="C74" s="94" t="str">
        <f>IF(B72&lt;&gt;"",$A$10,"")</f>
        <v>class="mt-3"&gt;</v>
      </c>
      <c r="D74" s="81" t="str">
        <f t="shared" si="3"/>
        <v/>
      </c>
      <c r="F74" s="92"/>
    </row>
    <row r="75" ht="16.95" spans="1:6">
      <c r="A75" s="88"/>
      <c r="B75" s="98" t="str">
        <f t="shared" si="9"/>
        <v/>
      </c>
      <c r="C75" s="94" t="str">
        <f>IF(B72&lt;&gt;"",CONCATENATE("&lt;h2&gt;",B72,"&lt;/h2&gt;"),"")</f>
        <v>&lt;h2&gt;Impacto en la Comunidad Profesional&lt;/h2&gt;</v>
      </c>
      <c r="D75" s="81" t="str">
        <f t="shared" si="3"/>
        <v/>
      </c>
      <c r="F75" s="92"/>
    </row>
    <row r="76" ht="16.95" spans="1:6">
      <c r="A76" s="88"/>
      <c r="B76" s="109" t="str">
        <f>IF(B72&lt;&gt;"","Lorem ipsum dolor sit amet consectetur adipisicing elit. Consectetur aut, nobis quam, natus eaque atque unde mollitia nostrum, reprehenderit ipsa aliquid voluptatibus? Perspiciatis corrupti.","")</f>
        <v>Lorem ipsum dolor sit amet consectetur adipisicing elit. Consectetur aut, nobis quam, natus eaque atque unde mollitia nostrum, reprehenderit ipsa aliquid voluptatibus? Perspiciatis corrupti.</v>
      </c>
      <c r="C76" s="108" t="str">
        <f>IF(B72&lt;&gt;"",CONCATENATE("&lt;p&gt;",B76,"&lt;/p&gt;"),"")</f>
        <v>&lt;p&gt;Lorem ipsum dolor sit amet consectetur adipisicing elit. Consectetur aut, nobis quam, natus eaque atque unde mollitia nostrum, reprehenderit ipsa aliquid voluptatibus? Perspiciatis corrupti.&lt;/p&gt;</v>
      </c>
      <c r="D76" s="81" t="str">
        <f t="shared" si="3"/>
        <v/>
      </c>
      <c r="F76" s="92"/>
    </row>
    <row r="77" spans="1:6">
      <c r="A77" s="88"/>
      <c r="B77" s="98" t="str">
        <f t="shared" si="9"/>
        <v/>
      </c>
      <c r="C77" s="94" t="str">
        <f>IF(B72&lt;&gt;"","&lt;/div&gt;","")</f>
        <v>&lt;/div&gt;</v>
      </c>
      <c r="D77" s="81" t="str">
        <f t="shared" si="3"/>
        <v/>
      </c>
      <c r="F77" s="92"/>
    </row>
    <row r="78" spans="1:6">
      <c r="A78" s="88"/>
      <c r="B78" s="98" t="str">
        <f t="shared" si="9"/>
        <v/>
      </c>
      <c r="C78" s="93" t="str">
        <f>IF(B72&lt;&gt;"",CONCATENATE("&lt;!-- ",B72," Fin --&gt;"),"")</f>
        <v>&lt;!-- Impacto en la Comunidad Profesional Fin --&gt;</v>
      </c>
      <c r="D78" s="81" t="str">
        <f t="shared" si="3"/>
        <v/>
      </c>
      <c r="F78" s="92"/>
    </row>
    <row r="79" ht="16.95" spans="1:6">
      <c r="A79" s="103"/>
      <c r="B79" s="104" t="str">
        <f t="shared" si="9"/>
        <v/>
      </c>
      <c r="C79" s="105" t="str">
        <f>IF(AND(B72&lt;&gt;"",B82&lt;&gt;""),$C$29,"")</f>
        <v>&lt;hr class="subtle-divider" /&gt;</v>
      </c>
      <c r="D79" s="81" t="str">
        <f t="shared" si="3"/>
        <v/>
      </c>
      <c r="F79" s="92"/>
    </row>
    <row r="80" ht="16.95" spans="1:6">
      <c r="A80" s="86"/>
      <c r="B80" s="81" t="str">
        <f t="shared" si="9"/>
        <v/>
      </c>
      <c r="C80" s="93" t="str">
        <f>""</f>
        <v/>
      </c>
      <c r="D80" s="81" t="str">
        <f t="shared" si="3"/>
        <v/>
      </c>
      <c r="F80" s="92"/>
    </row>
    <row r="81" ht="16.95" spans="1:6">
      <c r="A81" s="89">
        <f>A71+1</f>
        <v>6</v>
      </c>
      <c r="B81" s="106" t="str">
        <f t="shared" si="9"/>
        <v/>
      </c>
      <c r="C81" s="107" t="str">
        <f>IF(B82&lt;&gt;"",CONCATENATE("&lt;!-- ",B82," --&gt;"),"")</f>
        <v>&lt;!-- Conclusión --&gt;</v>
      </c>
      <c r="D81" s="81" t="str">
        <f t="shared" si="3"/>
        <v/>
      </c>
      <c r="F81" s="92"/>
    </row>
    <row r="82" spans="1:6">
      <c r="A82" s="88" t="str">
        <f>CONCATENATE("Area de trabajo ",A81)</f>
        <v>Area de trabajo 6</v>
      </c>
      <c r="B82" s="101" t="s">
        <v>167</v>
      </c>
      <c r="C82" s="108" t="str">
        <f>IF(B82&lt;&gt;"","&lt;div","")</f>
        <v>&lt;div</v>
      </c>
      <c r="D82" s="81" t="str">
        <f t="shared" si="3"/>
        <v/>
      </c>
      <c r="F82" s="92"/>
    </row>
    <row r="83" ht="16.95" spans="1:6">
      <c r="A83" s="88" t="str">
        <f>CONCATENATE(LOWER("area-de-trabajo-"),A81)</f>
        <v>area-de-trabajo-6</v>
      </c>
      <c r="B83" s="97" t="str">
        <f>SUBSTITUTE(SUBSTITUTE(SUBSTITUTE(SUBSTITUTE(SUBSTITUTE(SUBSTITUTE(SUBSTITUTE(SUBSTITUTE(SUBSTITUTE(LOWER(B82)," ","-"),"¿",""),"?",""),"é","e"),"á","a"),"ñ","n"),"í","i"),"ó","o"),":","")</f>
        <v>conclusion</v>
      </c>
      <c r="C83" s="94" t="str">
        <f>IF(B82&lt;&gt;"",CONCATENATE("id=",'&lt;!--  Principal  --&gt;'!Comillas,B83,'&lt;!--  Principal  --&gt;'!Comillas),"")</f>
        <v>id="conclusion"</v>
      </c>
      <c r="D83" s="81" t="str">
        <f t="shared" si="3"/>
        <v/>
      </c>
      <c r="F83" s="92"/>
    </row>
    <row r="84" spans="1:6">
      <c r="A84" s="88"/>
      <c r="B84" s="98" t="str">
        <f t="shared" ref="B84:B91" si="10">""</f>
        <v/>
      </c>
      <c r="C84" s="94" t="str">
        <f>IF(B82&lt;&gt;"",$A$10,"")</f>
        <v>class="mt-3"&gt;</v>
      </c>
      <c r="D84" s="81" t="str">
        <f t="shared" si="3"/>
        <v/>
      </c>
      <c r="F84" s="92"/>
    </row>
    <row r="85" ht="16.95" spans="1:6">
      <c r="A85" s="88"/>
      <c r="B85" s="98" t="str">
        <f t="shared" si="10"/>
        <v/>
      </c>
      <c r="C85" s="94" t="str">
        <f>IF(B82&lt;&gt;"",CONCATENATE("&lt;h2&gt;",B82,"&lt;/h2&gt;"),"")</f>
        <v>&lt;h2&gt;Conclusión&lt;/h2&gt;</v>
      </c>
      <c r="D85" s="81" t="str">
        <f t="shared" si="3"/>
        <v/>
      </c>
      <c r="F85" s="92"/>
    </row>
    <row r="86" ht="16.95" spans="1:6">
      <c r="A86" s="88"/>
      <c r="B86" s="109" t="str">
        <f>IF(B82&lt;&gt;"","Lorem ipsum dolor sit amet consectetur adipisicing elit. Consectetur aut, nobis quam, natus eaque atque unde mollitia nostrum, reprehenderit ipsa aliquid voluptatibus? Perspiciatis corrupti.","")</f>
        <v>Lorem ipsum dolor sit amet consectetur adipisicing elit. Consectetur aut, nobis quam, natus eaque atque unde mollitia nostrum, reprehenderit ipsa aliquid voluptatibus? Perspiciatis corrupti.</v>
      </c>
      <c r="C86" s="108" t="str">
        <f>IF(B82&lt;&gt;"",CONCATENATE("&lt;p&gt;",B86,"&lt;/p&gt;"),"")</f>
        <v>&lt;p&gt;Lorem ipsum dolor sit amet consectetur adipisicing elit. Consectetur aut, nobis quam, natus eaque atque unde mollitia nostrum, reprehenderit ipsa aliquid voluptatibus? Perspiciatis corrupti.&lt;/p&gt;</v>
      </c>
      <c r="D86" s="81" t="str">
        <f t="shared" si="3"/>
        <v/>
      </c>
      <c r="F86" s="92"/>
    </row>
    <row r="87" spans="1:6">
      <c r="A87" s="88"/>
      <c r="B87" s="98" t="str">
        <f t="shared" si="10"/>
        <v/>
      </c>
      <c r="C87" s="94" t="str">
        <f>IF(B82&lt;&gt;"","&lt;/div&gt;","")</f>
        <v>&lt;/div&gt;</v>
      </c>
      <c r="D87" s="81" t="str">
        <f t="shared" si="3"/>
        <v/>
      </c>
      <c r="F87" s="92"/>
    </row>
    <row r="88" spans="1:6">
      <c r="A88" s="88"/>
      <c r="B88" s="98" t="str">
        <f t="shared" si="10"/>
        <v/>
      </c>
      <c r="C88" s="93" t="str">
        <f>IF(B82&lt;&gt;"",CONCATENATE("&lt;!-- ",B82," Fin --&gt;"),"")</f>
        <v>&lt;!-- Conclusión Fin --&gt;</v>
      </c>
      <c r="D88" s="81" t="str">
        <f t="shared" si="3"/>
        <v/>
      </c>
      <c r="F88" s="92"/>
    </row>
    <row r="89" ht="16.95" spans="1:6">
      <c r="A89" s="103"/>
      <c r="B89" s="104" t="str">
        <f t="shared" si="10"/>
        <v/>
      </c>
      <c r="C89" s="105" t="str">
        <f>IF(AND(B82&lt;&gt;"",B92&lt;&gt;""),$C$29,"")</f>
        <v/>
      </c>
      <c r="D89" s="81" t="str">
        <f t="shared" si="3"/>
        <v/>
      </c>
      <c r="F89" s="92"/>
    </row>
    <row r="90" ht="16.95" spans="1:6">
      <c r="A90" s="86"/>
      <c r="B90" s="81" t="str">
        <f t="shared" si="10"/>
        <v/>
      </c>
      <c r="C90" s="93" t="str">
        <f>""</f>
        <v/>
      </c>
      <c r="D90" s="81" t="str">
        <f t="shared" si="3"/>
        <v/>
      </c>
      <c r="F90" s="92"/>
    </row>
    <row r="91" ht="16.95" spans="1:6">
      <c r="A91" s="89">
        <f>A81+1</f>
        <v>7</v>
      </c>
      <c r="B91" s="106" t="str">
        <f t="shared" si="10"/>
        <v/>
      </c>
      <c r="C91" s="107" t="str">
        <f>IF(B92&lt;&gt;"",CONCATENATE("&lt;!-- ",B92," --&gt;"),"")</f>
        <v/>
      </c>
      <c r="D91" s="81" t="str">
        <f t="shared" ref="D91:D154" si="11">""</f>
        <v/>
      </c>
      <c r="F91" s="92"/>
    </row>
    <row r="92" spans="1:6">
      <c r="A92" s="88" t="str">
        <f>CONCATENATE("Area de trabajo ",A91)</f>
        <v>Area de trabajo 7</v>
      </c>
      <c r="B92" s="101"/>
      <c r="C92" s="108" t="str">
        <f>IF(B92&lt;&gt;"","&lt;div","")</f>
        <v/>
      </c>
      <c r="D92" s="81" t="str">
        <f t="shared" si="11"/>
        <v/>
      </c>
      <c r="F92" s="92"/>
    </row>
    <row r="93" ht="16.95" spans="1:6">
      <c r="A93" s="88" t="str">
        <f>CONCATENATE(LOWER("area-de-trabajo-"),A91)</f>
        <v>area-de-trabajo-7</v>
      </c>
      <c r="B93" s="97" t="str">
        <f>SUBSTITUTE(SUBSTITUTE(SUBSTITUTE(SUBSTITUTE(SUBSTITUTE(SUBSTITUTE(SUBSTITUTE(SUBSTITUTE(SUBSTITUTE(LOWER(B92)," ","-"),"¿",""),"?",""),"é","e"),"á","a"),"ñ","n"),"í","i"),"ó","o"),":","")</f>
        <v/>
      </c>
      <c r="C93" s="94" t="str">
        <f>IF(B92&lt;&gt;"",CONCATENATE("id=",'&lt;!--  Principal  --&gt;'!Comillas,B93,'&lt;!--  Principal  --&gt;'!Comillas),"")</f>
        <v/>
      </c>
      <c r="D93" s="81" t="str">
        <f t="shared" si="11"/>
        <v/>
      </c>
      <c r="F93" s="92"/>
    </row>
    <row r="94" spans="1:6">
      <c r="A94" s="88"/>
      <c r="B94" s="98" t="str">
        <f t="shared" ref="B94:B101" si="12">""</f>
        <v/>
      </c>
      <c r="C94" s="94" t="str">
        <f>IF(B92&lt;&gt;"",$A$10,"")</f>
        <v/>
      </c>
      <c r="D94" s="81" t="str">
        <f t="shared" si="11"/>
        <v/>
      </c>
      <c r="F94" s="92"/>
    </row>
    <row r="95" ht="16.95" spans="1:6">
      <c r="A95" s="88"/>
      <c r="B95" s="98" t="str">
        <f t="shared" si="12"/>
        <v/>
      </c>
      <c r="C95" s="94" t="str">
        <f>IF(B92&lt;&gt;"",CONCATENATE("&lt;h2&gt;",B92,"&lt;/h2&gt;"),"")</f>
        <v/>
      </c>
      <c r="D95" s="81" t="str">
        <f t="shared" si="11"/>
        <v/>
      </c>
      <c r="F95" s="92"/>
    </row>
    <row r="96" ht="16.95" spans="1:6">
      <c r="A96" s="88"/>
      <c r="B96" s="109" t="str">
        <f>IF(B92&lt;&gt;"","Lorem ipsum dolor sit amet consectetur adipisicing elit. Consectetur aut, nobis quam, natus eaque atque unde mollitia nostrum, reprehenderit ipsa aliquid voluptatibus? Perspiciatis corrupti.","")</f>
        <v/>
      </c>
      <c r="C96" s="108" t="str">
        <f>IF(B92&lt;&gt;"",CONCATENATE("&lt;p&gt;",B96,"&lt;/p&gt;"),"")</f>
        <v/>
      </c>
      <c r="D96" s="81" t="str">
        <f t="shared" si="11"/>
        <v/>
      </c>
      <c r="F96" s="92"/>
    </row>
    <row r="97" spans="1:6">
      <c r="A97" s="88"/>
      <c r="B97" s="98" t="str">
        <f t="shared" si="12"/>
        <v/>
      </c>
      <c r="C97" s="94" t="str">
        <f>IF(B92&lt;&gt;"","&lt;/div&gt;","")</f>
        <v/>
      </c>
      <c r="D97" s="81" t="str">
        <f t="shared" si="11"/>
        <v/>
      </c>
      <c r="F97" s="92"/>
    </row>
    <row r="98" spans="1:6">
      <c r="A98" s="88"/>
      <c r="B98" s="98" t="str">
        <f t="shared" si="12"/>
        <v/>
      </c>
      <c r="C98" s="93" t="str">
        <f>IF(B92&lt;&gt;"",CONCATENATE("&lt;!-- ",B92," Fin --&gt;"),"")</f>
        <v/>
      </c>
      <c r="D98" s="81" t="str">
        <f t="shared" si="11"/>
        <v/>
      </c>
      <c r="F98" s="92"/>
    </row>
    <row r="99" ht="16.95" spans="1:6">
      <c r="A99" s="103"/>
      <c r="B99" s="104" t="str">
        <f t="shared" si="12"/>
        <v/>
      </c>
      <c r="C99" s="105" t="str">
        <f>IF(AND(B92&lt;&gt;"",B102&lt;&gt;""),$C$29,"")</f>
        <v/>
      </c>
      <c r="D99" s="81" t="str">
        <f t="shared" si="11"/>
        <v/>
      </c>
      <c r="F99" s="92"/>
    </row>
    <row r="100" ht="16.95" spans="1:6">
      <c r="A100" s="86"/>
      <c r="B100" s="81" t="str">
        <f t="shared" si="12"/>
        <v/>
      </c>
      <c r="C100" s="93" t="str">
        <f>""</f>
        <v/>
      </c>
      <c r="D100" s="81" t="str">
        <f t="shared" si="11"/>
        <v/>
      </c>
      <c r="F100" s="92"/>
    </row>
    <row r="101" ht="16.95" spans="1:6">
      <c r="A101" s="89">
        <f>A91+1</f>
        <v>8</v>
      </c>
      <c r="B101" s="106" t="str">
        <f t="shared" si="12"/>
        <v/>
      </c>
      <c r="C101" s="107" t="str">
        <f>IF(B102&lt;&gt;"",CONCATENATE("&lt;!-- ",B102," --&gt;"),"")</f>
        <v/>
      </c>
      <c r="D101" s="81" t="str">
        <f t="shared" si="11"/>
        <v/>
      </c>
      <c r="F101" s="92"/>
    </row>
    <row r="102" spans="1:6">
      <c r="A102" s="88" t="str">
        <f>CONCATENATE("Area de trabajo ",A101)</f>
        <v>Area de trabajo 8</v>
      </c>
      <c r="B102" s="101"/>
      <c r="C102" s="108" t="str">
        <f>IF(B102&lt;&gt;"","&lt;div","")</f>
        <v/>
      </c>
      <c r="D102" s="81" t="str">
        <f t="shared" si="11"/>
        <v/>
      </c>
      <c r="F102" s="92"/>
    </row>
    <row r="103" ht="16.95" spans="1:6">
      <c r="A103" s="88" t="str">
        <f>CONCATENATE(LOWER("area-de-trabajo-"),A101)</f>
        <v>area-de-trabajo-8</v>
      </c>
      <c r="B103" s="97" t="str">
        <f>SUBSTITUTE(SUBSTITUTE(SUBSTITUTE(SUBSTITUTE(SUBSTITUTE(SUBSTITUTE(SUBSTITUTE(SUBSTITUTE(SUBSTITUTE(LOWER(B102)," ","-"),"¿",""),"?",""),"é","e"),"á","a"),"ñ","n"),"í","i"),"ó","o"),":","")</f>
        <v/>
      </c>
      <c r="C103" s="94" t="str">
        <f>IF(B102&lt;&gt;"",CONCATENATE("id=",'&lt;!--  Principal  --&gt;'!Comillas,B103,'&lt;!--  Principal  --&gt;'!Comillas),"")</f>
        <v/>
      </c>
      <c r="D103" s="81" t="str">
        <f t="shared" si="11"/>
        <v/>
      </c>
      <c r="F103" s="92"/>
    </row>
    <row r="104" spans="1:6">
      <c r="A104" s="88"/>
      <c r="B104" s="98" t="str">
        <f t="shared" ref="B104:B111" si="13">""</f>
        <v/>
      </c>
      <c r="C104" s="94" t="str">
        <f>IF(B102&lt;&gt;"",$A$10,"")</f>
        <v/>
      </c>
      <c r="D104" s="81" t="str">
        <f t="shared" si="11"/>
        <v/>
      </c>
      <c r="F104" s="92"/>
    </row>
    <row r="105" ht="16.95" spans="1:6">
      <c r="A105" s="88"/>
      <c r="B105" s="98" t="str">
        <f t="shared" si="13"/>
        <v/>
      </c>
      <c r="C105" s="94" t="str">
        <f>IF(B102&lt;&gt;"",CONCATENATE("&lt;h2&gt;",B102,"&lt;/h2&gt;"),"")</f>
        <v/>
      </c>
      <c r="D105" s="81" t="str">
        <f t="shared" si="11"/>
        <v/>
      </c>
      <c r="F105" s="92"/>
    </row>
    <row r="106" ht="16.95" spans="1:6">
      <c r="A106" s="88"/>
      <c r="B106" s="109" t="str">
        <f>IF(B102&lt;&gt;"","Lorem ipsum dolor sit amet consectetur adipisicing elit. Consectetur aut, nobis quam, natus eaque atque unde mollitia nostrum, reprehenderit ipsa aliquid voluptatibus? Perspiciatis corrupti.","")</f>
        <v/>
      </c>
      <c r="C106" s="108" t="str">
        <f>IF(B102&lt;&gt;"",CONCATENATE("&lt;p&gt;",B106,"&lt;/p&gt;"),"")</f>
        <v/>
      </c>
      <c r="D106" s="81" t="str">
        <f t="shared" si="11"/>
        <v/>
      </c>
      <c r="F106" s="92"/>
    </row>
    <row r="107" spans="1:6">
      <c r="A107" s="88"/>
      <c r="B107" s="98" t="str">
        <f t="shared" si="13"/>
        <v/>
      </c>
      <c r="C107" s="94" t="str">
        <f>IF(B102&lt;&gt;"","&lt;/div&gt;","")</f>
        <v/>
      </c>
      <c r="D107" s="81" t="str">
        <f t="shared" si="11"/>
        <v/>
      </c>
      <c r="F107" s="92"/>
    </row>
    <row r="108" spans="1:6">
      <c r="A108" s="88"/>
      <c r="B108" s="98" t="str">
        <f t="shared" si="13"/>
        <v/>
      </c>
      <c r="C108" s="93" t="str">
        <f>IF(B102&lt;&gt;"",CONCATENATE("&lt;!-- ",B102," Fin --&gt;"),"")</f>
        <v/>
      </c>
      <c r="D108" s="81" t="str">
        <f t="shared" si="11"/>
        <v/>
      </c>
      <c r="F108" s="92"/>
    </row>
    <row r="109" ht="16.95" spans="1:6">
      <c r="A109" s="103"/>
      <c r="B109" s="104" t="str">
        <f t="shared" si="13"/>
        <v/>
      </c>
      <c r="C109" s="105" t="str">
        <f>IF(AND(B102&lt;&gt;"",B112&lt;&gt;""),$C$29,"")</f>
        <v/>
      </c>
      <c r="D109" s="81" t="str">
        <f t="shared" si="11"/>
        <v/>
      </c>
      <c r="F109" s="92"/>
    </row>
    <row r="110" ht="16.95" spans="1:6">
      <c r="A110" s="86"/>
      <c r="B110" s="81" t="str">
        <f t="shared" si="13"/>
        <v/>
      </c>
      <c r="C110" s="93" t="str">
        <f>""</f>
        <v/>
      </c>
      <c r="D110" s="81" t="str">
        <f t="shared" si="11"/>
        <v/>
      </c>
      <c r="F110" s="92"/>
    </row>
    <row r="111" ht="16.95" spans="1:6">
      <c r="A111" s="89">
        <f>A101+1</f>
        <v>9</v>
      </c>
      <c r="B111" s="106" t="str">
        <f t="shared" si="13"/>
        <v/>
      </c>
      <c r="C111" s="107" t="str">
        <f>IF(B112&lt;&gt;"",CONCATENATE("&lt;!-- ",B112," --&gt;"),"")</f>
        <v/>
      </c>
      <c r="D111" s="81" t="str">
        <f t="shared" si="11"/>
        <v/>
      </c>
      <c r="F111" s="92"/>
    </row>
    <row r="112" spans="1:6">
      <c r="A112" s="88" t="str">
        <f>CONCATENATE("Area de trabajo ",A111)</f>
        <v>Area de trabajo 9</v>
      </c>
      <c r="B112" s="101"/>
      <c r="C112" s="108" t="str">
        <f>IF(B112&lt;&gt;"","&lt;div","")</f>
        <v/>
      </c>
      <c r="D112" s="81" t="str">
        <f t="shared" si="11"/>
        <v/>
      </c>
      <c r="F112" s="92"/>
    </row>
    <row r="113" ht="16.95" spans="1:6">
      <c r="A113" s="88" t="str">
        <f>CONCATENATE(LOWER("area-de-trabajo-"),A111)</f>
        <v>area-de-trabajo-9</v>
      </c>
      <c r="B113" s="97" t="str">
        <f>SUBSTITUTE(SUBSTITUTE(SUBSTITUTE(SUBSTITUTE(SUBSTITUTE(SUBSTITUTE(SUBSTITUTE(SUBSTITUTE(SUBSTITUTE(LOWER(B112)," ","-"),"¿",""),"?",""),"é","e"),"á","a"),"ñ","n"),"í","i"),"ó","o"),":","")</f>
        <v/>
      </c>
      <c r="C113" s="94" t="str">
        <f>IF(B112&lt;&gt;"",CONCATENATE("id=",'&lt;!--  Principal  --&gt;'!Comillas,B113,'&lt;!--  Principal  --&gt;'!Comillas),"")</f>
        <v/>
      </c>
      <c r="D113" s="81" t="str">
        <f t="shared" si="11"/>
        <v/>
      </c>
      <c r="F113" s="92"/>
    </row>
    <row r="114" spans="1:6">
      <c r="A114" s="88"/>
      <c r="B114" s="98" t="str">
        <f t="shared" ref="B114:B121" si="14">""</f>
        <v/>
      </c>
      <c r="C114" s="94" t="str">
        <f>IF(B112&lt;&gt;"",$A$10,"")</f>
        <v/>
      </c>
      <c r="D114" s="81" t="str">
        <f t="shared" si="11"/>
        <v/>
      </c>
      <c r="F114" s="92"/>
    </row>
    <row r="115" ht="16.95" spans="1:6">
      <c r="A115" s="88"/>
      <c r="B115" s="98" t="str">
        <f t="shared" si="14"/>
        <v/>
      </c>
      <c r="C115" s="94" t="str">
        <f>IF(B112&lt;&gt;"",CONCATENATE("&lt;h2&gt;",B112,"&lt;/h2&gt;"),"")</f>
        <v/>
      </c>
      <c r="D115" s="81" t="str">
        <f t="shared" si="11"/>
        <v/>
      </c>
      <c r="F115" s="92"/>
    </row>
    <row r="116" ht="16.95" spans="1:6">
      <c r="A116" s="88"/>
      <c r="B116" s="109" t="str">
        <f>IF(B112&lt;&gt;"","Lorem ipsum dolor sit amet consectetur adipisicing elit. Consectetur aut, nobis quam, natus eaque atque unde mollitia nostrum, reprehenderit ipsa aliquid voluptatibus? Perspiciatis corrupti.","")</f>
        <v/>
      </c>
      <c r="C116" s="108" t="str">
        <f>IF(B112&lt;&gt;"",CONCATENATE("&lt;p&gt;",B116,"&lt;/p&gt;"),"")</f>
        <v/>
      </c>
      <c r="D116" s="81" t="str">
        <f t="shared" si="11"/>
        <v/>
      </c>
      <c r="F116" s="92"/>
    </row>
    <row r="117" spans="1:6">
      <c r="A117" s="88"/>
      <c r="B117" s="98" t="str">
        <f t="shared" si="14"/>
        <v/>
      </c>
      <c r="C117" s="94" t="str">
        <f>IF(B112&lt;&gt;"","&lt;/div&gt;","")</f>
        <v/>
      </c>
      <c r="D117" s="81" t="str">
        <f t="shared" si="11"/>
        <v/>
      </c>
      <c r="F117" s="92"/>
    </row>
    <row r="118" spans="1:6">
      <c r="A118" s="88"/>
      <c r="B118" s="98" t="str">
        <f t="shared" si="14"/>
        <v/>
      </c>
      <c r="C118" s="93" t="str">
        <f>IF(B112&lt;&gt;"",CONCATENATE("&lt;!-- ",B112," Fin --&gt;"),"")</f>
        <v/>
      </c>
      <c r="D118" s="81" t="str">
        <f t="shared" si="11"/>
        <v/>
      </c>
      <c r="F118" s="92"/>
    </row>
    <row r="119" ht="16.95" spans="1:6">
      <c r="A119" s="103"/>
      <c r="B119" s="104" t="str">
        <f t="shared" si="14"/>
        <v/>
      </c>
      <c r="C119" s="105" t="str">
        <f>IF(AND(B112&lt;&gt;"",B122&lt;&gt;""),$C$29,"")</f>
        <v/>
      </c>
      <c r="D119" s="81" t="str">
        <f t="shared" si="11"/>
        <v/>
      </c>
      <c r="F119" s="92"/>
    </row>
    <row r="120" ht="16.95" spans="1:6">
      <c r="A120" s="86"/>
      <c r="B120" s="81" t="str">
        <f t="shared" si="14"/>
        <v/>
      </c>
      <c r="C120" s="93" t="str">
        <f>""</f>
        <v/>
      </c>
      <c r="D120" s="81" t="str">
        <f t="shared" si="11"/>
        <v/>
      </c>
      <c r="F120" s="92"/>
    </row>
    <row r="121" ht="16.95" spans="1:6">
      <c r="A121" s="89">
        <f>A111+1</f>
        <v>10</v>
      </c>
      <c r="B121" s="106" t="str">
        <f t="shared" si="14"/>
        <v/>
      </c>
      <c r="C121" s="107" t="str">
        <f>IF(B122&lt;&gt;"",CONCATENATE("&lt;!-- ",B122," --&gt;"),"")</f>
        <v/>
      </c>
      <c r="D121" s="81" t="str">
        <f t="shared" si="11"/>
        <v/>
      </c>
      <c r="F121" s="92"/>
    </row>
    <row r="122" spans="1:6">
      <c r="A122" s="88" t="str">
        <f>CONCATENATE("Area de trabajo ",A121)</f>
        <v>Area de trabajo 10</v>
      </c>
      <c r="B122" s="101"/>
      <c r="C122" s="108" t="str">
        <f>IF(B122&lt;&gt;"","&lt;div","")</f>
        <v/>
      </c>
      <c r="D122" s="81" t="str">
        <f t="shared" si="11"/>
        <v/>
      </c>
      <c r="F122" s="92"/>
    </row>
    <row r="123" ht="16.95" spans="1:6">
      <c r="A123" s="88" t="str">
        <f>CONCATENATE(LOWER("area-de-trabajo-"),A121)</f>
        <v>area-de-trabajo-10</v>
      </c>
      <c r="B123" s="97" t="str">
        <f>SUBSTITUTE(SUBSTITUTE(SUBSTITUTE(SUBSTITUTE(SUBSTITUTE(SUBSTITUTE(SUBSTITUTE(SUBSTITUTE(SUBSTITUTE(LOWER(B122)," ","-"),"¿",""),"?",""),"é","e"),"á","a"),"ñ","n"),"í","i"),"ó","o"),":","")</f>
        <v/>
      </c>
      <c r="C123" s="94" t="str">
        <f>IF(B122&lt;&gt;"",CONCATENATE("id=",'&lt;!--  Principal  --&gt;'!Comillas,B123,'&lt;!--  Principal  --&gt;'!Comillas),"")</f>
        <v/>
      </c>
      <c r="D123" s="81" t="str">
        <f t="shared" si="11"/>
        <v/>
      </c>
      <c r="F123" s="92"/>
    </row>
    <row r="124" spans="1:6">
      <c r="A124" s="88"/>
      <c r="B124" s="98" t="str">
        <f t="shared" ref="B124:B131" si="15">""</f>
        <v/>
      </c>
      <c r="C124" s="94" t="str">
        <f>IF(B122&lt;&gt;"",$A$10,"")</f>
        <v/>
      </c>
      <c r="D124" s="81" t="str">
        <f t="shared" si="11"/>
        <v/>
      </c>
      <c r="F124" s="92"/>
    </row>
    <row r="125" ht="16.95" spans="1:6">
      <c r="A125" s="88"/>
      <c r="B125" s="98" t="str">
        <f t="shared" si="15"/>
        <v/>
      </c>
      <c r="C125" s="94" t="str">
        <f>IF(B122&lt;&gt;"",CONCATENATE("&lt;h2&gt;",B122,"&lt;/h2&gt;"),"")</f>
        <v/>
      </c>
      <c r="D125" s="81" t="str">
        <f t="shared" si="11"/>
        <v/>
      </c>
      <c r="F125" s="92"/>
    </row>
    <row r="126" ht="16.95" spans="1:6">
      <c r="A126" s="88"/>
      <c r="B126" s="109" t="str">
        <f>IF(B122&lt;&gt;"","Lorem ipsum dolor sit amet consectetur adipisicing elit. Consectetur aut, nobis quam, natus eaque atque unde mollitia nostrum, reprehenderit ipsa aliquid voluptatibus? Perspiciatis corrupti.","")</f>
        <v/>
      </c>
      <c r="C126" s="108" t="str">
        <f>IF(B122&lt;&gt;"",CONCATENATE("&lt;p&gt;",B126,"&lt;/p&gt;"),"")</f>
        <v/>
      </c>
      <c r="D126" s="81" t="str">
        <f t="shared" si="11"/>
        <v/>
      </c>
      <c r="F126" s="92"/>
    </row>
    <row r="127" spans="1:6">
      <c r="A127" s="88"/>
      <c r="B127" s="98" t="str">
        <f t="shared" si="15"/>
        <v/>
      </c>
      <c r="C127" s="94" t="str">
        <f>IF(B122&lt;&gt;"","&lt;/div&gt;","")</f>
        <v/>
      </c>
      <c r="D127" s="81" t="str">
        <f t="shared" si="11"/>
        <v/>
      </c>
      <c r="F127" s="92"/>
    </row>
    <row r="128" spans="1:6">
      <c r="A128" s="88"/>
      <c r="B128" s="98" t="str">
        <f t="shared" si="15"/>
        <v/>
      </c>
      <c r="C128" s="93" t="str">
        <f>IF(B122&lt;&gt;"",CONCATENATE("&lt;!-- ",B122," Fin --&gt;"),"")</f>
        <v/>
      </c>
      <c r="D128" s="81" t="str">
        <f t="shared" si="11"/>
        <v/>
      </c>
      <c r="F128" s="92"/>
    </row>
    <row r="129" ht="16.95" spans="1:6">
      <c r="A129" s="103"/>
      <c r="B129" s="104" t="str">
        <f t="shared" si="15"/>
        <v/>
      </c>
      <c r="C129" s="105" t="str">
        <f>IF(AND(B122&lt;&gt;"",B132&lt;&gt;""),$C$29,"")</f>
        <v/>
      </c>
      <c r="D129" s="81" t="str">
        <f t="shared" si="11"/>
        <v/>
      </c>
      <c r="F129" s="92"/>
    </row>
    <row r="130" ht="16.95" spans="1:6">
      <c r="A130" s="86"/>
      <c r="B130" s="81" t="str">
        <f t="shared" si="15"/>
        <v/>
      </c>
      <c r="C130" s="93" t="str">
        <f>""</f>
        <v/>
      </c>
      <c r="D130" s="81" t="str">
        <f t="shared" si="11"/>
        <v/>
      </c>
      <c r="F130" s="92"/>
    </row>
    <row r="131" ht="16.95" spans="1:6">
      <c r="A131" s="89">
        <f>A121+1</f>
        <v>11</v>
      </c>
      <c r="B131" s="106" t="str">
        <f t="shared" si="15"/>
        <v/>
      </c>
      <c r="C131" s="107" t="str">
        <f>IF(B132&lt;&gt;"",CONCATENATE("&lt;!-- ",B132," --&gt;"),"")</f>
        <v/>
      </c>
      <c r="D131" s="81" t="str">
        <f t="shared" si="11"/>
        <v/>
      </c>
      <c r="F131" s="92"/>
    </row>
    <row r="132" spans="1:6">
      <c r="A132" s="88" t="str">
        <f>CONCATENATE("Area de trabajo ",A131)</f>
        <v>Area de trabajo 11</v>
      </c>
      <c r="B132" s="101"/>
      <c r="C132" s="108" t="str">
        <f>IF(B132&lt;&gt;"","&lt;div","")</f>
        <v/>
      </c>
      <c r="D132" s="81" t="str">
        <f t="shared" si="11"/>
        <v/>
      </c>
      <c r="F132" s="92"/>
    </row>
    <row r="133" ht="16.95" spans="1:6">
      <c r="A133" s="88" t="str">
        <f>CONCATENATE(LOWER("area-de-trabajo-"),A131)</f>
        <v>area-de-trabajo-11</v>
      </c>
      <c r="B133" s="97" t="str">
        <f>SUBSTITUTE(SUBSTITUTE(SUBSTITUTE(SUBSTITUTE(SUBSTITUTE(SUBSTITUTE(SUBSTITUTE(SUBSTITUTE(SUBSTITUTE(LOWER(B132)," ","-"),"¿",""),"?",""),"é","e"),"á","a"),"ñ","n"),"í","i"),"ó","o"),":","")</f>
        <v/>
      </c>
      <c r="C133" s="94" t="str">
        <f>IF(B132&lt;&gt;"",CONCATENATE("id=",'&lt;!--  Principal  --&gt;'!Comillas,B133,'&lt;!--  Principal  --&gt;'!Comillas),"")</f>
        <v/>
      </c>
      <c r="D133" s="81" t="str">
        <f t="shared" si="11"/>
        <v/>
      </c>
      <c r="F133" s="92"/>
    </row>
    <row r="134" spans="1:6">
      <c r="A134" s="88"/>
      <c r="B134" s="98" t="str">
        <f t="shared" ref="B134:B141" si="16">""</f>
        <v/>
      </c>
      <c r="C134" s="94" t="str">
        <f>IF(B132&lt;&gt;"",$A$10,"")</f>
        <v/>
      </c>
      <c r="D134" s="81" t="str">
        <f t="shared" si="11"/>
        <v/>
      </c>
      <c r="F134" s="92"/>
    </row>
    <row r="135" ht="16.95" spans="1:6">
      <c r="A135" s="88"/>
      <c r="B135" s="98" t="str">
        <f t="shared" si="16"/>
        <v/>
      </c>
      <c r="C135" s="94" t="str">
        <f>IF(B132&lt;&gt;"",CONCATENATE("&lt;h2&gt;",B132,"&lt;/h2&gt;"),"")</f>
        <v/>
      </c>
      <c r="D135" s="81" t="str">
        <f t="shared" si="11"/>
        <v/>
      </c>
      <c r="F135" s="92"/>
    </row>
    <row r="136" ht="16.95" spans="1:6">
      <c r="A136" s="88"/>
      <c r="B136" s="109" t="str">
        <f>IF(B132&lt;&gt;"","Lorem ipsum dolor sit amet consectetur adipisicing elit. Consectetur aut, nobis quam, natus eaque atque unde mollitia nostrum, reprehenderit ipsa aliquid voluptatibus? Perspiciatis corrupti.","")</f>
        <v/>
      </c>
      <c r="C136" s="108" t="str">
        <f>IF(B132&lt;&gt;"",CONCATENATE("&lt;p&gt;",B136,"&lt;/p&gt;"),"")</f>
        <v/>
      </c>
      <c r="D136" s="81" t="str">
        <f t="shared" si="11"/>
        <v/>
      </c>
      <c r="F136" s="92"/>
    </row>
    <row r="137" spans="1:6">
      <c r="A137" s="88"/>
      <c r="B137" s="98" t="str">
        <f t="shared" si="16"/>
        <v/>
      </c>
      <c r="C137" s="94" t="str">
        <f>IF(B132&lt;&gt;"","&lt;/div&gt;","")</f>
        <v/>
      </c>
      <c r="D137" s="81" t="str">
        <f t="shared" si="11"/>
        <v/>
      </c>
      <c r="F137" s="92"/>
    </row>
    <row r="138" spans="1:6">
      <c r="A138" s="88"/>
      <c r="B138" s="98" t="str">
        <f t="shared" si="16"/>
        <v/>
      </c>
      <c r="C138" s="93" t="str">
        <f>IF(B132&lt;&gt;"",CONCATENATE("&lt;!-- ",B132," Fin --&gt;"),"")</f>
        <v/>
      </c>
      <c r="D138" s="81" t="str">
        <f t="shared" si="11"/>
        <v/>
      </c>
      <c r="F138" s="92"/>
    </row>
    <row r="139" ht="16.95" spans="1:6">
      <c r="A139" s="103"/>
      <c r="B139" s="104" t="str">
        <f t="shared" si="16"/>
        <v/>
      </c>
      <c r="C139" s="105" t="str">
        <f>IF(AND(B132&lt;&gt;"",B142&lt;&gt;""),$C$29,"")</f>
        <v/>
      </c>
      <c r="D139" s="81" t="str">
        <f t="shared" si="11"/>
        <v/>
      </c>
      <c r="F139" s="92"/>
    </row>
    <row r="140" ht="16.95" spans="1:6">
      <c r="A140" s="86"/>
      <c r="B140" s="81" t="str">
        <f t="shared" si="16"/>
        <v/>
      </c>
      <c r="C140" s="93" t="str">
        <f>""</f>
        <v/>
      </c>
      <c r="D140" s="81" t="str">
        <f t="shared" si="11"/>
        <v/>
      </c>
      <c r="F140" s="92"/>
    </row>
    <row r="141" ht="16.95" spans="1:6">
      <c r="A141" s="89">
        <f>A131+1</f>
        <v>12</v>
      </c>
      <c r="B141" s="106" t="str">
        <f t="shared" si="16"/>
        <v/>
      </c>
      <c r="C141" s="107" t="str">
        <f>IF(B142&lt;&gt;"",CONCATENATE("&lt;!-- ",B142," --&gt;"),"")</f>
        <v/>
      </c>
      <c r="D141" s="81" t="str">
        <f t="shared" si="11"/>
        <v/>
      </c>
      <c r="F141" s="92"/>
    </row>
    <row r="142" spans="1:6">
      <c r="A142" s="88" t="str">
        <f>CONCATENATE("Area de trabajo ",A141)</f>
        <v>Area de trabajo 12</v>
      </c>
      <c r="B142" s="101"/>
      <c r="C142" s="108" t="str">
        <f>IF(B142&lt;&gt;"","&lt;div","")</f>
        <v/>
      </c>
      <c r="D142" s="81" t="str">
        <f t="shared" si="11"/>
        <v/>
      </c>
      <c r="F142" s="92"/>
    </row>
    <row r="143" ht="16.95" spans="1:6">
      <c r="A143" s="88" t="str">
        <f>CONCATENATE(LOWER("area-de-trabajo-"),A141)</f>
        <v>area-de-trabajo-12</v>
      </c>
      <c r="B143" s="97" t="str">
        <f>SUBSTITUTE(SUBSTITUTE(SUBSTITUTE(SUBSTITUTE(SUBSTITUTE(SUBSTITUTE(SUBSTITUTE(SUBSTITUTE(SUBSTITUTE(LOWER(B142)," ","-"),"¿",""),"?",""),"é","e"),"á","a"),"ñ","n"),"í","i"),"ó","o"),":","")</f>
        <v/>
      </c>
      <c r="C143" s="94" t="str">
        <f>IF(B142&lt;&gt;"",CONCATENATE("id=",'&lt;!--  Principal  --&gt;'!Comillas,B143,'&lt;!--  Principal  --&gt;'!Comillas),"")</f>
        <v/>
      </c>
      <c r="D143" s="81" t="str">
        <f t="shared" si="11"/>
        <v/>
      </c>
      <c r="F143" s="92"/>
    </row>
    <row r="144" spans="1:6">
      <c r="A144" s="88"/>
      <c r="B144" s="98" t="str">
        <f t="shared" ref="B144:B151" si="17">""</f>
        <v/>
      </c>
      <c r="C144" s="94" t="str">
        <f>IF(B142&lt;&gt;"",$A$10,"")</f>
        <v/>
      </c>
      <c r="D144" s="81" t="str">
        <f t="shared" si="11"/>
        <v/>
      </c>
      <c r="F144" s="92"/>
    </row>
    <row r="145" ht="16.95" spans="1:6">
      <c r="A145" s="88"/>
      <c r="B145" s="98" t="str">
        <f t="shared" si="17"/>
        <v/>
      </c>
      <c r="C145" s="94" t="str">
        <f>IF(B142&lt;&gt;"",CONCATENATE("&lt;h2&gt;",B142,"&lt;/h2&gt;"),"")</f>
        <v/>
      </c>
      <c r="D145" s="81" t="str">
        <f t="shared" si="11"/>
        <v/>
      </c>
      <c r="F145" s="92"/>
    </row>
    <row r="146" ht="16.95" spans="1:6">
      <c r="A146" s="88"/>
      <c r="B146" s="109" t="str">
        <f>IF(B142&lt;&gt;"","Lorem ipsum dolor sit amet consectetur adipisicing elit. Consectetur aut, nobis quam, natus eaque atque unde mollitia nostrum, reprehenderit ipsa aliquid voluptatibus? Perspiciatis corrupti.","")</f>
        <v/>
      </c>
      <c r="C146" s="108" t="str">
        <f>IF(B142&lt;&gt;"",CONCATENATE("&lt;p&gt;",B146,"&lt;/p&gt;"),"")</f>
        <v/>
      </c>
      <c r="D146" s="81" t="str">
        <f t="shared" si="11"/>
        <v/>
      </c>
      <c r="F146" s="92"/>
    </row>
    <row r="147" spans="1:6">
      <c r="A147" s="88"/>
      <c r="B147" s="98" t="str">
        <f t="shared" si="17"/>
        <v/>
      </c>
      <c r="C147" s="94" t="str">
        <f>IF(B142&lt;&gt;"","&lt;/div&gt;","")</f>
        <v/>
      </c>
      <c r="D147" s="81" t="str">
        <f t="shared" si="11"/>
        <v/>
      </c>
      <c r="F147" s="92"/>
    </row>
    <row r="148" spans="1:6">
      <c r="A148" s="88"/>
      <c r="B148" s="98" t="str">
        <f t="shared" si="17"/>
        <v/>
      </c>
      <c r="C148" s="93" t="str">
        <f>IF(B142&lt;&gt;"",CONCATENATE("&lt;!-- ",B142," Fin --&gt;"),"")</f>
        <v/>
      </c>
      <c r="D148" s="81" t="str">
        <f t="shared" si="11"/>
        <v/>
      </c>
      <c r="F148" s="92"/>
    </row>
    <row r="149" ht="16.95" spans="1:6">
      <c r="A149" s="103"/>
      <c r="B149" s="104" t="str">
        <f t="shared" si="17"/>
        <v/>
      </c>
      <c r="C149" s="105" t="str">
        <f>IF(AND(B142&lt;&gt;"",B152&lt;&gt;""),$C$29,"")</f>
        <v/>
      </c>
      <c r="D149" s="81" t="str">
        <f t="shared" si="11"/>
        <v/>
      </c>
      <c r="F149" s="92"/>
    </row>
    <row r="150" ht="16.95" spans="1:6">
      <c r="A150" s="86"/>
      <c r="B150" s="81" t="str">
        <f t="shared" si="17"/>
        <v/>
      </c>
      <c r="C150" s="93" t="str">
        <f>""</f>
        <v/>
      </c>
      <c r="D150" s="81" t="str">
        <f t="shared" si="11"/>
        <v/>
      </c>
      <c r="F150" s="92"/>
    </row>
    <row r="151" ht="16.95" spans="1:6">
      <c r="A151" s="89">
        <f>A141+1</f>
        <v>13</v>
      </c>
      <c r="B151" s="106" t="str">
        <f t="shared" si="17"/>
        <v/>
      </c>
      <c r="C151" s="107" t="str">
        <f>IF(B152&lt;&gt;"",CONCATENATE("&lt;!-- ",B152," --&gt;"),"")</f>
        <v/>
      </c>
      <c r="D151" s="81" t="str">
        <f t="shared" si="11"/>
        <v/>
      </c>
      <c r="F151" s="92"/>
    </row>
    <row r="152" spans="1:6">
      <c r="A152" s="88" t="str">
        <f>CONCATENATE("Area de trabajo ",A151)</f>
        <v>Area de trabajo 13</v>
      </c>
      <c r="B152" s="101"/>
      <c r="C152" s="108" t="str">
        <f>IF(B152&lt;&gt;"","&lt;div","")</f>
        <v/>
      </c>
      <c r="D152" s="81" t="str">
        <f t="shared" si="11"/>
        <v/>
      </c>
      <c r="F152" s="92"/>
    </row>
    <row r="153" ht="16.95" spans="1:6">
      <c r="A153" s="88" t="str">
        <f>CONCATENATE(LOWER("area-de-trabajo-"),A151)</f>
        <v>area-de-trabajo-13</v>
      </c>
      <c r="B153" s="97" t="str">
        <f>SUBSTITUTE(SUBSTITUTE(SUBSTITUTE(SUBSTITUTE(SUBSTITUTE(SUBSTITUTE(SUBSTITUTE(SUBSTITUTE(SUBSTITUTE(LOWER(B152)," ","-"),"¿",""),"?",""),"é","e"),"á","a"),"ñ","n"),"í","i"),"ó","o"),":","")</f>
        <v/>
      </c>
      <c r="C153" s="94" t="str">
        <f>IF(B152&lt;&gt;"",CONCATENATE("id=",'&lt;!--  Principal  --&gt;'!Comillas,B153,'&lt;!--  Principal  --&gt;'!Comillas),"")</f>
        <v/>
      </c>
      <c r="D153" s="81" t="str">
        <f t="shared" si="11"/>
        <v/>
      </c>
      <c r="F153" s="92"/>
    </row>
    <row r="154" spans="1:6">
      <c r="A154" s="88"/>
      <c r="B154" s="98" t="str">
        <f t="shared" ref="B154:B161" si="18">""</f>
        <v/>
      </c>
      <c r="C154" s="94" t="str">
        <f>IF(B152&lt;&gt;"",$A$10,"")</f>
        <v/>
      </c>
      <c r="D154" s="81" t="str">
        <f t="shared" si="11"/>
        <v/>
      </c>
      <c r="F154" s="92"/>
    </row>
    <row r="155" ht="16.95" spans="1:6">
      <c r="A155" s="88"/>
      <c r="B155" s="98" t="str">
        <f t="shared" si="18"/>
        <v/>
      </c>
      <c r="C155" s="94" t="str">
        <f>IF(B152&lt;&gt;"",CONCATENATE("&lt;h2&gt;",B152,"&lt;/h2&gt;"),"")</f>
        <v/>
      </c>
      <c r="D155" s="81" t="str">
        <f t="shared" ref="D155:D160" si="19">""</f>
        <v/>
      </c>
      <c r="F155" s="92"/>
    </row>
    <row r="156" ht="16.95" spans="1:6">
      <c r="A156" s="88"/>
      <c r="B156" s="109" t="str">
        <f>IF(B152&lt;&gt;"","Lorem ipsum dolor sit amet consectetur adipisicing elit. Consectetur aut, nobis quam, natus eaque atque unde mollitia nostrum, reprehenderit ipsa aliquid voluptatibus? Perspiciatis corrupti.","")</f>
        <v/>
      </c>
      <c r="C156" s="108" t="str">
        <f>IF(B152&lt;&gt;"",CONCATENATE("&lt;p&gt;",B156,"&lt;/p&gt;"),"")</f>
        <v/>
      </c>
      <c r="D156" s="81" t="str">
        <f t="shared" si="19"/>
        <v/>
      </c>
      <c r="F156" s="92"/>
    </row>
    <row r="157" spans="1:6">
      <c r="A157" s="88"/>
      <c r="B157" s="98" t="str">
        <f t="shared" si="18"/>
        <v/>
      </c>
      <c r="C157" s="94" t="str">
        <f>IF(B152&lt;&gt;"","&lt;/div&gt;","")</f>
        <v/>
      </c>
      <c r="D157" s="81" t="str">
        <f t="shared" si="19"/>
        <v/>
      </c>
      <c r="F157" s="92"/>
    </row>
    <row r="158" spans="1:6">
      <c r="A158" s="88"/>
      <c r="B158" s="98" t="str">
        <f t="shared" si="18"/>
        <v/>
      </c>
      <c r="C158" s="93" t="str">
        <f>IF(B152&lt;&gt;"",CONCATENATE("&lt;!-- ",B152," Fin --&gt;"),"")</f>
        <v/>
      </c>
      <c r="D158" s="81" t="str">
        <f t="shared" si="19"/>
        <v/>
      </c>
      <c r="F158" s="92"/>
    </row>
    <row r="159" ht="16.95" spans="1:6">
      <c r="A159" s="103"/>
      <c r="B159" s="104" t="str">
        <f t="shared" si="18"/>
        <v/>
      </c>
      <c r="C159" s="105" t="str">
        <f>IF(AND(B152&lt;&gt;"",B162&lt;&gt;""),$C$29,"")</f>
        <v/>
      </c>
      <c r="D159" s="81" t="str">
        <f t="shared" si="19"/>
        <v/>
      </c>
      <c r="F159" s="92"/>
    </row>
    <row r="160" spans="1:6">
      <c r="A160" s="86"/>
      <c r="B160" s="81" t="str">
        <f t="shared" si="18"/>
        <v/>
      </c>
      <c r="C160" s="93" t="str">
        <f>""</f>
        <v/>
      </c>
      <c r="D160" s="81" t="str">
        <f t="shared" si="19"/>
        <v/>
      </c>
      <c r="F160" s="92"/>
    </row>
    <row r="161" spans="1:12">
      <c r="A161" s="86"/>
      <c r="B161" s="81" t="str">
        <f t="shared" si="18"/>
        <v/>
      </c>
      <c r="C161" s="84" t="s">
        <v>119</v>
      </c>
      <c r="F161" s="92"/>
    </row>
    <row r="162" spans="1:12">
      <c r="C162" s="110" t="s">
        <v>120</v>
      </c>
      <c r="D162" s="81" t="str">
        <f t="shared" ref="D162:D182" si="20">""</f>
        <v/>
      </c>
      <c r="F162" s="92"/>
    </row>
    <row r="163" spans="1:12">
      <c r="C163" s="84" t="s">
        <v>121</v>
      </c>
      <c r="D163" s="81" t="str">
        <f t="shared" si="20"/>
        <v/>
      </c>
      <c r="F163" s="92"/>
    </row>
    <row r="164" spans="1:12">
      <c r="C164" s="111" t="s">
        <v>122</v>
      </c>
      <c r="D164" s="81" t="str">
        <f t="shared" si="20"/>
        <v/>
      </c>
      <c r="F164" s="92"/>
    </row>
    <row r="165" s="82" customFormat="1" spans="1:12">
      <c r="A165" s="83"/>
      <c r="B165" s="24"/>
      <c r="C165" s="111" t="s">
        <v>123</v>
      </c>
      <c r="D165" s="81" t="str">
        <f t="shared" si="20"/>
        <v/>
      </c>
      <c r="E165" s="81"/>
      <c r="F165" s="92"/>
      <c r="G165" s="81"/>
      <c r="H165" s="81"/>
      <c r="I165" s="81"/>
      <c r="J165" s="81"/>
      <c r="K165" s="81"/>
      <c r="L165" s="81"/>
    </row>
    <row r="166" s="82" customFormat="1" spans="1:12">
      <c r="A166" s="83"/>
      <c r="B166" s="24"/>
      <c r="C166" s="111" t="s">
        <v>124</v>
      </c>
      <c r="D166" s="81" t="str">
        <f t="shared" si="20"/>
        <v/>
      </c>
      <c r="E166" s="81"/>
      <c r="F166" s="92"/>
      <c r="G166" s="81"/>
      <c r="H166" s="81"/>
      <c r="I166" s="81"/>
      <c r="J166" s="81"/>
      <c r="K166" s="81"/>
      <c r="L166" s="81"/>
    </row>
    <row r="167" s="82" customFormat="1" spans="1:12">
      <c r="A167" s="83"/>
      <c r="B167" s="24"/>
      <c r="C167" s="111" t="s">
        <v>125</v>
      </c>
      <c r="D167" s="81" t="str">
        <f t="shared" si="20"/>
        <v/>
      </c>
      <c r="E167" s="81"/>
      <c r="F167" s="92"/>
      <c r="G167" s="81"/>
      <c r="H167" s="81"/>
      <c r="I167" s="81"/>
      <c r="J167" s="81"/>
      <c r="K167" s="81"/>
      <c r="L167" s="81"/>
    </row>
    <row r="168" s="82" customFormat="1" spans="1:12">
      <c r="A168" s="83"/>
      <c r="B168" s="24"/>
      <c r="C168" s="111" t="s">
        <v>126</v>
      </c>
      <c r="D168" s="81" t="str">
        <f t="shared" si="20"/>
        <v/>
      </c>
      <c r="E168" s="81"/>
      <c r="F168" s="92"/>
      <c r="G168" s="81"/>
      <c r="H168" s="81"/>
      <c r="I168" s="81"/>
      <c r="J168" s="81"/>
      <c r="K168" s="81"/>
      <c r="L168" s="81"/>
    </row>
    <row r="169" s="82" customFormat="1" spans="1:12">
      <c r="A169" s="83"/>
      <c r="B169" s="24"/>
      <c r="C169" s="111" t="s">
        <v>127</v>
      </c>
      <c r="D169" s="81" t="str">
        <f t="shared" si="20"/>
        <v/>
      </c>
      <c r="E169" s="81"/>
      <c r="F169" s="92"/>
      <c r="G169" s="81"/>
      <c r="H169" s="81"/>
      <c r="I169" s="81"/>
      <c r="J169" s="81"/>
      <c r="K169" s="81"/>
      <c r="L169" s="81"/>
    </row>
    <row r="170" s="82" customFormat="1" spans="1:12">
      <c r="A170" s="83"/>
      <c r="B170" s="24"/>
      <c r="C170" s="111" t="s">
        <v>128</v>
      </c>
      <c r="D170" s="81" t="str">
        <f t="shared" si="20"/>
        <v/>
      </c>
      <c r="E170" s="81"/>
      <c r="F170" s="92"/>
      <c r="G170" s="81"/>
      <c r="H170" s="81"/>
      <c r="I170" s="81"/>
      <c r="J170" s="81"/>
      <c r="K170" s="81"/>
      <c r="L170" s="81"/>
    </row>
    <row r="171" s="82" customFormat="1" spans="1:12">
      <c r="A171" s="83"/>
      <c r="B171" s="24"/>
      <c r="C171" s="111" t="s">
        <v>129</v>
      </c>
      <c r="D171" s="81" t="str">
        <f t="shared" si="20"/>
        <v/>
      </c>
      <c r="E171" s="81"/>
      <c r="F171" s="92"/>
      <c r="G171" s="81"/>
      <c r="H171" s="81"/>
      <c r="I171" s="81"/>
      <c r="J171" s="81"/>
      <c r="K171" s="81"/>
      <c r="L171" s="81"/>
    </row>
    <row r="172" s="82" customFormat="1" spans="1:12">
      <c r="A172" s="83"/>
      <c r="B172" s="24"/>
      <c r="C172" s="111" t="s">
        <v>117</v>
      </c>
      <c r="D172" s="81" t="str">
        <f t="shared" si="20"/>
        <v/>
      </c>
      <c r="E172" s="81"/>
      <c r="F172" s="92"/>
      <c r="G172" s="81"/>
      <c r="H172" s="81"/>
      <c r="I172" s="81"/>
      <c r="J172" s="81"/>
      <c r="K172" s="81"/>
      <c r="L172" s="81"/>
    </row>
    <row r="173" s="82" customFormat="1" spans="1:12">
      <c r="A173" s="83"/>
      <c r="B173" s="24"/>
      <c r="C173" s="111" t="s">
        <v>127</v>
      </c>
      <c r="D173" s="81" t="str">
        <f t="shared" si="20"/>
        <v/>
      </c>
      <c r="E173" s="81"/>
      <c r="F173" s="92"/>
      <c r="G173" s="81"/>
      <c r="H173" s="81"/>
      <c r="I173" s="81"/>
      <c r="J173" s="81"/>
      <c r="K173" s="81"/>
      <c r="L173" s="81"/>
    </row>
    <row r="174" s="82" customFormat="1" spans="1:12">
      <c r="A174" s="83"/>
      <c r="B174" s="24"/>
      <c r="C174" s="111" t="s">
        <v>130</v>
      </c>
      <c r="D174" s="81" t="str">
        <f t="shared" si="20"/>
        <v/>
      </c>
      <c r="E174" s="81"/>
      <c r="F174" s="92"/>
      <c r="G174" s="81"/>
      <c r="H174" s="81"/>
      <c r="I174" s="81"/>
      <c r="J174" s="81"/>
      <c r="K174" s="81"/>
      <c r="L174" s="81"/>
    </row>
    <row r="175" s="82" customFormat="1" spans="1:12">
      <c r="A175" s="83"/>
      <c r="B175" s="24"/>
      <c r="C175" s="111" t="s">
        <v>131</v>
      </c>
      <c r="D175" s="81" t="str">
        <f t="shared" si="20"/>
        <v/>
      </c>
      <c r="E175" s="81"/>
      <c r="F175" s="92"/>
      <c r="G175" s="81"/>
      <c r="H175" s="81"/>
      <c r="I175" s="81"/>
      <c r="J175" s="81"/>
      <c r="K175" s="81"/>
      <c r="L175" s="81"/>
    </row>
    <row r="176" s="82" customFormat="1" spans="1:12">
      <c r="A176" s="83"/>
      <c r="B176" s="24"/>
      <c r="C176" s="111" t="s">
        <v>117</v>
      </c>
      <c r="D176" s="81" t="str">
        <f t="shared" si="20"/>
        <v/>
      </c>
      <c r="E176" s="81"/>
      <c r="F176" s="92"/>
      <c r="G176" s="81"/>
      <c r="H176" s="81"/>
      <c r="I176" s="81"/>
      <c r="J176" s="81"/>
      <c r="K176" s="81"/>
      <c r="L176" s="81"/>
    </row>
    <row r="177" s="82" customFormat="1" spans="1:12">
      <c r="A177" s="83"/>
      <c r="B177" s="24"/>
      <c r="C177" s="111" t="s">
        <v>127</v>
      </c>
      <c r="D177" s="81" t="str">
        <f t="shared" si="20"/>
        <v/>
      </c>
      <c r="E177" s="81"/>
      <c r="F177" s="92"/>
      <c r="G177" s="81"/>
      <c r="H177" s="81"/>
      <c r="I177" s="81"/>
      <c r="J177" s="81"/>
      <c r="K177" s="81"/>
      <c r="L177" s="81"/>
    </row>
    <row r="178" s="82" customFormat="1" spans="1:12">
      <c r="A178" s="83"/>
      <c r="B178" s="24"/>
      <c r="C178" s="111" t="s">
        <v>132</v>
      </c>
      <c r="D178" s="81" t="str">
        <f t="shared" si="20"/>
        <v/>
      </c>
      <c r="E178" s="81"/>
      <c r="F178" s="92"/>
      <c r="G178" s="81"/>
      <c r="H178" s="81"/>
      <c r="I178" s="81"/>
      <c r="J178" s="81"/>
      <c r="K178" s="81"/>
      <c r="L178" s="81"/>
    </row>
    <row r="179" s="82" customFormat="1" spans="1:12">
      <c r="A179" s="112"/>
      <c r="B179" s="24"/>
      <c r="C179" s="111" t="s">
        <v>133</v>
      </c>
      <c r="D179" s="81" t="str">
        <f t="shared" si="20"/>
        <v/>
      </c>
      <c r="E179" s="81"/>
      <c r="F179" s="92"/>
      <c r="G179" s="81"/>
      <c r="H179" s="81"/>
      <c r="I179" s="81"/>
      <c r="J179" s="81"/>
      <c r="K179" s="81"/>
      <c r="L179" s="81"/>
    </row>
    <row r="180" s="82" customFormat="1" spans="1:12">
      <c r="A180" s="112"/>
      <c r="B180" s="24"/>
      <c r="C180" s="111" t="s">
        <v>134</v>
      </c>
      <c r="D180" s="81" t="str">
        <f t="shared" si="20"/>
        <v/>
      </c>
      <c r="E180" s="81"/>
      <c r="F180" s="92"/>
      <c r="G180" s="81"/>
      <c r="H180" s="81"/>
      <c r="I180" s="81"/>
      <c r="J180" s="81"/>
      <c r="K180" s="81"/>
      <c r="L180" s="81"/>
    </row>
    <row r="181" s="24" customFormat="1" spans="1:12">
      <c r="A181" s="112"/>
      <c r="C181" s="111" t="s">
        <v>117</v>
      </c>
      <c r="D181" s="81" t="str">
        <f t="shared" si="20"/>
        <v/>
      </c>
      <c r="E181" s="81"/>
      <c r="F181" s="92"/>
      <c r="G181" s="81"/>
      <c r="H181" s="81"/>
      <c r="I181" s="81"/>
      <c r="J181" s="81"/>
      <c r="K181" s="81"/>
      <c r="L181" s="81"/>
    </row>
    <row r="182" s="24" customFormat="1" spans="1:12">
      <c r="A182" s="112"/>
      <c r="C182" s="111" t="s">
        <v>135</v>
      </c>
      <c r="D182" s="81" t="str">
        <f t="shared" si="20"/>
        <v/>
      </c>
      <c r="E182" s="81"/>
      <c r="F182" s="92"/>
      <c r="G182" s="81"/>
      <c r="H182" s="81"/>
      <c r="I182" s="81"/>
      <c r="J182" s="81"/>
      <c r="K182" s="81"/>
      <c r="L182" s="81"/>
    </row>
    <row r="183" s="24" customFormat="1" spans="1:12">
      <c r="A183" s="112"/>
      <c r="C183" s="111" t="s">
        <v>136</v>
      </c>
      <c r="D183" s="81"/>
      <c r="E183" s="81"/>
      <c r="F183" s="92"/>
      <c r="G183" s="81"/>
      <c r="H183" s="81"/>
      <c r="I183" s="81"/>
      <c r="J183" s="81"/>
      <c r="K183" s="81"/>
      <c r="L183" s="81"/>
    </row>
    <row r="184" s="24" customFormat="1" spans="1:12">
      <c r="A184" s="112"/>
      <c r="C184" s="111" t="s">
        <v>137</v>
      </c>
      <c r="D184" s="81"/>
      <c r="E184" s="81"/>
      <c r="F184" s="92"/>
      <c r="G184" s="81"/>
      <c r="H184" s="81"/>
      <c r="I184" s="81"/>
      <c r="J184" s="81"/>
      <c r="K184" s="81"/>
      <c r="L184" s="81"/>
    </row>
    <row r="185" s="24" customFormat="1" spans="1:12">
      <c r="A185" s="112"/>
      <c r="C185" s="111" t="s">
        <v>138</v>
      </c>
      <c r="D185" s="81"/>
      <c r="E185" s="81"/>
      <c r="F185" s="92"/>
      <c r="G185" s="81"/>
      <c r="H185" s="81"/>
      <c r="I185" s="81"/>
      <c r="J185" s="81"/>
      <c r="K185" s="81"/>
      <c r="L185" s="81"/>
    </row>
    <row r="186" s="24" customFormat="1" spans="1:12">
      <c r="A186" s="112"/>
      <c r="C186" s="111" t="s">
        <v>117</v>
      </c>
      <c r="D186" s="81"/>
      <c r="E186" s="81"/>
      <c r="F186" s="92"/>
      <c r="G186" s="81"/>
      <c r="H186" s="81"/>
      <c r="I186" s="81"/>
      <c r="J186" s="81"/>
      <c r="K186" s="81"/>
      <c r="L186" s="81"/>
    </row>
    <row r="187" s="24" customFormat="1" spans="1:12">
      <c r="A187" s="112"/>
      <c r="C187" s="111" t="s">
        <v>119</v>
      </c>
      <c r="D187" s="81"/>
      <c r="E187" s="81"/>
      <c r="F187" s="92"/>
      <c r="G187" s="81"/>
      <c r="H187" s="81"/>
      <c r="I187" s="81"/>
      <c r="J187" s="81"/>
      <c r="K187" s="81"/>
      <c r="L187" s="81"/>
    </row>
    <row r="188" s="24" customFormat="1" spans="1:12">
      <c r="A188" s="112"/>
      <c r="C188" s="111" t="s">
        <v>139</v>
      </c>
      <c r="D188" s="81" t="str">
        <f>""</f>
        <v/>
      </c>
      <c r="E188" s="81"/>
      <c r="F188" s="92"/>
      <c r="G188" s="81"/>
      <c r="H188" s="81"/>
      <c r="I188" s="81"/>
      <c r="J188" s="81"/>
      <c r="K188" s="81"/>
      <c r="L188" s="81"/>
    </row>
    <row r="189" s="24" customFormat="1" spans="1:12">
      <c r="A189" s="83"/>
      <c r="C189" s="110" t="s">
        <v>140</v>
      </c>
      <c r="D189" s="81" t="str">
        <f>""</f>
        <v/>
      </c>
      <c r="E189" s="81"/>
      <c r="F189" s="92"/>
      <c r="G189" s="81"/>
      <c r="H189" s="81"/>
      <c r="I189" s="81"/>
      <c r="J189" s="81"/>
      <c r="K189" s="81"/>
      <c r="L189" s="81"/>
    </row>
    <row r="190" spans="1:12">
      <c r="C190" s="81" t="s">
        <v>168</v>
      </c>
      <c r="F190" s="92"/>
    </row>
    <row r="191" spans="1:12">
      <c r="C191" s="81" t="s">
        <v>169</v>
      </c>
      <c r="D191" s="81" t="s">
        <v>170</v>
      </c>
      <c r="F191" s="92"/>
    </row>
    <row r="192" spans="1:12">
      <c r="C192" s="81" t="s">
        <v>171</v>
      </c>
      <c r="D192" s="81" t="s">
        <v>33</v>
      </c>
      <c r="F192" s="92"/>
    </row>
    <row r="193" ht="16.95" spans="2:6">
      <c r="C193" s="81" t="s">
        <v>172</v>
      </c>
      <c r="D193" s="81" t="s">
        <v>173</v>
      </c>
      <c r="F193" s="92"/>
    </row>
    <row r="194" ht="16.95" spans="2:6">
      <c r="C194" s="113" t="s">
        <v>174</v>
      </c>
      <c r="D194" s="81" t="str">
        <f>""</f>
        <v/>
      </c>
      <c r="F194" s="92"/>
    </row>
    <row r="195" ht="16.95" spans="2:6">
      <c r="C195" s="114" t="s">
        <v>175</v>
      </c>
      <c r="F195" s="92"/>
    </row>
    <row r="196" spans="2:6">
      <c r="C196" s="115" t="str">
        <f>IF($B$42&lt;&gt;"",$H$1,"")</f>
        <v>&lt;div class="menu-item"&gt;</v>
      </c>
      <c r="D196" s="81" t="s">
        <v>170</v>
      </c>
      <c r="F196" s="92"/>
    </row>
    <row r="197" spans="2:6">
      <c r="B197" s="24" t="s">
        <v>176</v>
      </c>
      <c r="C197" s="116" t="str">
        <f>CONCATENATE("&lt;a href=",'&lt;!--  Principal  --&gt;'!Comillas,"#",B9,'&lt;!--  Principal  --&gt;'!Comillas," ",$B$197,"&gt;",SUBSTITUTE(B29,"&lt;","&amp;lt;"),B8,"&lt;/a&gt;")</f>
        <v>&lt;a href="#claude-introduccion" class="simple-link"&gt;Claude: Introducción&lt;/a&gt;</v>
      </c>
      <c r="D197" s="81" t="str">
        <f>SUBSTITUTE(B36,"&lt;","&amp;lt;")</f>
        <v>Lorem ipsum dolor sit amet consectetur adipisicing elit. Consectetur aut, nobis quam, natus eaque atque unde mollitia nostrum, reprehenderit ipsa aliquid voluptatibus? Perspiciatis corrupti.</v>
      </c>
      <c r="F197" s="92"/>
    </row>
    <row r="198" ht="16.95" spans="2:6">
      <c r="C198" s="117" t="str">
        <f>IF($B$32&lt;&gt;"","&lt;/div&gt;","")</f>
        <v>&lt;/div&gt;</v>
      </c>
      <c r="D198" s="81" t="s">
        <v>173</v>
      </c>
      <c r="F198" s="92"/>
    </row>
    <row r="199" spans="2:6">
      <c r="C199" s="115" t="str">
        <f>IF($B$32&lt;&gt;"",$H$1,"")</f>
        <v>&lt;div class="menu-item"&gt;</v>
      </c>
      <c r="D199" s="81" t="s">
        <v>170</v>
      </c>
      <c r="F199" s="92"/>
    </row>
    <row r="200" spans="2:6">
      <c r="C200" s="116" t="str">
        <f>IF(B32&lt;&gt;"",CONCATENATE("&lt;a href=",'&lt;!--  Principal  --&gt;'!Comillas,"#",B33,'&lt;!--  Principal  --&gt;'!Comillas," ",$B$197,"&gt;",SUBSTITUTE(B32,"&lt;","&amp;lt;"),"&lt;/a&gt;"),"")</f>
        <v>&lt;a href="#asd-y-df" class="simple-link"&gt;asd y df&lt;/a&gt;</v>
      </c>
      <c r="D200" s="81" t="str">
        <f>SUBSTITUTE(B32,"&lt;","&amp;lt;")</f>
        <v>asd y df</v>
      </c>
      <c r="F200" s="92"/>
    </row>
    <row r="201" ht="16.95" spans="2:6">
      <c r="C201" s="117" t="str">
        <f>IF($B$32&lt;&gt;"","&lt;/div&gt;","")</f>
        <v>&lt;/div&gt;</v>
      </c>
      <c r="D201" s="81" t="s">
        <v>173</v>
      </c>
      <c r="F201" s="92"/>
    </row>
    <row r="202" spans="2:6">
      <c r="C202" s="115" t="str">
        <f>IF($B$42&lt;&gt;"",$H$1,"")</f>
        <v>&lt;div class="menu-item"&gt;</v>
      </c>
      <c r="D202" s="81" t="s">
        <v>170</v>
      </c>
      <c r="F202" s="92"/>
    </row>
    <row r="203" spans="2:6">
      <c r="C203" s="116" t="str">
        <f>IF(B43&lt;&gt;"",CONCATENATE("&lt;a href=",'&lt;!--  Principal  --&gt;'!Comillas,"#",B43,'&lt;!--  Principal  --&gt;'!Comillas," ",$B$197,"&gt;",SUBSTITUTE(B42,"&lt;","&amp;lt;"),"&lt;/a&gt;"),"")</f>
        <v>&lt;a href="#caracteristicas-de-claude-cowork" class="simple-link"&gt;Características de Claude Cowork&lt;/a&gt;</v>
      </c>
      <c r="D203" s="81" t="str">
        <f>SUBSTITUTE(B42,"&lt;","&amp;lt;")</f>
        <v>Características de Claude Cowork</v>
      </c>
      <c r="F203" s="92"/>
    </row>
    <row r="204" ht="16.95" spans="2:6">
      <c r="C204" s="117" t="str">
        <f>IF($B$42&lt;&gt;"","&lt;/div&gt;","")</f>
        <v>&lt;/div&gt;</v>
      </c>
      <c r="D204" s="81" t="s">
        <v>173</v>
      </c>
      <c r="F204" s="92"/>
    </row>
    <row r="205" spans="2:6">
      <c r="C205" s="115" t="str">
        <f>IF(B52&lt;&gt;"",$H$1,"")</f>
        <v>&lt;div class="menu-item"&gt;</v>
      </c>
      <c r="D205" s="81" t="s">
        <v>170</v>
      </c>
      <c r="F205" s="92"/>
    </row>
    <row r="206" spans="2:6">
      <c r="C206" s="116" t="str">
        <f>IF(B52&lt;&gt;"",CONCATENATE("&lt;a href=",'&lt;!--  Principal  --&gt;'!Comillas,"#",B53,'&lt;!--  Principal  --&gt;'!Comillas," ",$B$197,"&gt;",SUBSTITUTE(B52,"&lt;","&amp;lt;"),"&lt;/a&gt;"),"")</f>
        <v>&lt;a href="#beneficios-de-trabajar-en-claude-cowork" class="simple-link"&gt;Beneficios de Trabajar en Claude Cowork&lt;/a&gt;</v>
      </c>
      <c r="D206" s="81" t="str">
        <f>SUBSTITUTE(B52,"&lt;","&amp;lt;")</f>
        <v>Beneficios de Trabajar en Claude Cowork</v>
      </c>
      <c r="F206" s="92"/>
    </row>
    <row r="207" ht="16.95" spans="2:6">
      <c r="C207" s="117" t="str">
        <f>IF(B52&lt;&gt;"","&lt;/div&gt;","")</f>
        <v>&lt;/div&gt;</v>
      </c>
      <c r="D207" s="81" t="s">
        <v>173</v>
      </c>
      <c r="F207" s="92"/>
    </row>
    <row r="208" spans="2:6">
      <c r="C208" s="115" t="str">
        <f>IF(B62&lt;&gt;"",$H$1,"")</f>
        <v>&lt;div class="menu-item"&gt;</v>
      </c>
      <c r="D208" s="81" t="s">
        <v>170</v>
      </c>
      <c r="F208" s="92"/>
    </row>
    <row r="209" spans="2:6">
      <c r="C209" s="116" t="str">
        <f>IF(B62&lt;&gt;"",CONCATENATE("&lt;a href=",'&lt;!--  Principal  --&gt;'!Comillas,"#",B63,'&lt;!--  Principal  --&gt;'!Comillas," ",$B$197,"&gt;",SUBSTITUTE(B62,"&lt;","&amp;lt;"),"&lt;/a&gt;"),"")</f>
        <v>&lt;a href="#filosofia-de-claude-cowork" class="simple-link"&gt;Filosofía de Claude Cowork&lt;/a&gt;</v>
      </c>
      <c r="D209" s="81" t="str">
        <f>SUBSTITUTE(B62,"&lt;","&amp;lt;")</f>
        <v>Filosofía de Claude Cowork</v>
      </c>
      <c r="F209" s="92"/>
    </row>
    <row r="210" ht="16.95" spans="2:6">
      <c r="C210" s="117" t="str">
        <f>IF(B62&lt;&gt;"","&lt;/div&gt;","")</f>
        <v>&lt;/div&gt;</v>
      </c>
      <c r="D210" s="81" t="s">
        <v>173</v>
      </c>
      <c r="F210" s="92"/>
    </row>
    <row r="211" spans="2:6">
      <c r="C211" s="115" t="str">
        <f>IF(B72&lt;&gt;"",$H$1,"")</f>
        <v>&lt;div class="menu-item"&gt;</v>
      </c>
      <c r="D211" s="81" t="s">
        <v>170</v>
      </c>
      <c r="F211" s="92"/>
    </row>
    <row r="212" spans="2:6">
      <c r="C212" s="116" t="str">
        <f>IF(B72&lt;&gt;"",CONCATENATE("&lt;a href=",'&lt;!--  Principal  --&gt;'!Comillas,"#",B73,'&lt;!--  Principal  --&gt;'!Comillas," ",$B$197,"&gt;",B72,"&lt;/a&gt;"),"")</f>
        <v>&lt;a href="#impacto-en-la-comunidad-profesional" class="simple-link"&gt;Impacto en la Comunidad Profesional&lt;/a&gt;</v>
      </c>
      <c r="D212" s="81" t="str">
        <f>SUBSTITUTE(B72,"&lt;","&amp;lt;")</f>
        <v>Impacto en la Comunidad Profesional</v>
      </c>
      <c r="F212" s="92"/>
    </row>
    <row r="213" ht="16.95" spans="2:6">
      <c r="C213" s="117" t="str">
        <f>IF(B72&lt;&gt;"","&lt;/div&gt;","")</f>
        <v>&lt;/div&gt;</v>
      </c>
      <c r="D213" s="81" t="s">
        <v>173</v>
      </c>
      <c r="F213" s="92"/>
    </row>
    <row r="214" spans="2:6">
      <c r="C214" s="115" t="str">
        <f>IF(B82&lt;&gt;"",$H$1,"")</f>
        <v>&lt;div class="menu-item"&gt;</v>
      </c>
      <c r="D214" s="81" t="s">
        <v>170</v>
      </c>
      <c r="F214" s="92"/>
    </row>
    <row r="215" spans="2:6">
      <c r="C215" s="116" t="str">
        <f>IF(B82&lt;&gt;"",CONCATENATE("&lt;a href=",'&lt;!--  Principal  --&gt;'!Comillas,"#",B83,'&lt;!--  Principal  --&gt;'!Comillas," ",$B$197,"&gt;",B82,"&lt;/a&gt;"),"")</f>
        <v>&lt;a href="#conclusion" class="simple-link"&gt;Conclusión&lt;/a&gt;</v>
      </c>
      <c r="D215" s="81" t="str">
        <f>SUBSTITUTE(B82,"&lt;","&amp;lt;")</f>
        <v>Conclusión</v>
      </c>
      <c r="F215" s="92"/>
    </row>
    <row r="216" ht="16.95" spans="2:6">
      <c r="C216" s="117" t="str">
        <f>IF(B82&lt;&gt;"","&lt;/li&gt;","")</f>
        <v>&lt;/li&gt;</v>
      </c>
      <c r="D216" s="81" t="s">
        <v>173</v>
      </c>
      <c r="F216" s="92"/>
    </row>
    <row r="217" spans="2:6">
      <c r="C217" s="115" t="str">
        <f>IF(B92&lt;&gt;"",$H$1,"")</f>
        <v/>
      </c>
      <c r="D217" s="81" t="s">
        <v>170</v>
      </c>
      <c r="F217" s="92"/>
    </row>
    <row r="218" spans="2:6">
      <c r="C218" s="116" t="str">
        <f>IF(B92&gt;"",CONCATENATE("&lt;a href=",'&lt;!--  Principal  --&gt;'!Comillas,"#",B93,'&lt;!--  Principal  --&gt;'!Comillas," ",$B$197,"&gt;",B92,"&lt;/a&gt;"),"")</f>
        <v/>
      </c>
      <c r="D218" s="81" t="str">
        <f>SUBSTITUTE(B92,"&lt;","&amp;lt;")</f>
        <v/>
      </c>
      <c r="F218" s="92"/>
    </row>
    <row r="219" ht="16.95" spans="2:6">
      <c r="C219" s="117" t="str">
        <f>IF(B92&lt;&gt;"","&lt;/div&gt;","")</f>
        <v/>
      </c>
      <c r="D219" s="81" t="s">
        <v>173</v>
      </c>
      <c r="F219" s="92"/>
    </row>
    <row r="220" spans="2:6">
      <c r="B220" s="118"/>
      <c r="C220" s="115" t="str">
        <f>IF(B95&lt;&gt;"",$H$1,"")</f>
        <v/>
      </c>
      <c r="D220" s="81" t="s">
        <v>170</v>
      </c>
      <c r="F220" s="92"/>
    </row>
    <row r="221" spans="2:6">
      <c r="C221" s="116" t="str">
        <f>IF(B102&gt;"",CONCATENATE("&lt;a href=",'&lt;!--  Principal  --&gt;'!Comillas,"#",B103,'&lt;!--  Principal  --&gt;'!Comillas," ",$B$197,"&gt;",B102,"&lt;/a&gt;"),"")</f>
        <v/>
      </c>
      <c r="D221" s="81" t="str">
        <f>SUBSTITUTE(B102,"&lt;","&amp;lt;")</f>
        <v/>
      </c>
      <c r="F221" s="92"/>
    </row>
    <row r="222" ht="16.95" spans="2:6">
      <c r="C222" s="117" t="str">
        <f>IF(B95&lt;&gt;"","&lt;/div&gt;","")</f>
        <v/>
      </c>
      <c r="D222" s="81" t="s">
        <v>173</v>
      </c>
      <c r="F222" s="92"/>
    </row>
    <row r="223" spans="2:6">
      <c r="B223" s="118"/>
      <c r="C223" s="115" t="str">
        <f>IF(B112&lt;&gt;"",$H$1,"")</f>
        <v/>
      </c>
      <c r="D223" s="81" t="s">
        <v>170</v>
      </c>
      <c r="F223" s="92"/>
    </row>
    <row r="224" spans="2:6">
      <c r="C224" s="116" t="str">
        <f>IF(B112&lt;&gt;"",CONCATENATE("&lt;a href=",'&lt;!--  Principal  --&gt;'!Comillas,"#",B113,'&lt;!--  Principal  --&gt;'!Comillas," ",$B$197,"&gt;",B112,"&lt;/a&gt;"),"")</f>
        <v/>
      </c>
      <c r="D224" s="81" t="str">
        <f>SUBSTITUTE(B112,"&lt;","&amp;lt;")</f>
        <v/>
      </c>
      <c r="F224" s="92"/>
    </row>
    <row r="225" ht="16.95" spans="3:6">
      <c r="C225" s="117" t="str">
        <f>IF(B112&lt;&gt;"","&lt;/div&gt;","")</f>
        <v/>
      </c>
      <c r="D225" s="81" t="s">
        <v>173</v>
      </c>
      <c r="F225" s="92"/>
    </row>
    <row r="226" spans="3:6">
      <c r="C226" s="115" t="str">
        <f>IF(B122&lt;&gt;"",$H$1,"")</f>
        <v/>
      </c>
      <c r="D226" s="81" t="s">
        <v>170</v>
      </c>
      <c r="F226" s="92"/>
    </row>
    <row r="227" spans="3:6">
      <c r="C227" s="116" t="str">
        <f>IF(B122&gt;"",CONCATENATE("&lt;a href=",'&lt;!--  Principal  --&gt;'!Comillas,"#",B123,'&lt;!--  Principal  --&gt;'!Comillas," ",$B$197,"&gt;",B122,"&lt;/a&gt;"),"")</f>
        <v/>
      </c>
      <c r="D227" s="81" t="str">
        <f>SUBSTITUTE(B122,"&lt;","&amp;lt;")</f>
        <v/>
      </c>
      <c r="F227" s="92"/>
    </row>
    <row r="228" ht="16.95" spans="3:6">
      <c r="C228" s="117" t="str">
        <f>IF(B122&lt;&gt;"","&lt;/div&gt;","")</f>
        <v/>
      </c>
      <c r="D228" s="81" t="s">
        <v>173</v>
      </c>
      <c r="F228" s="92"/>
    </row>
    <row r="229" spans="3:6">
      <c r="C229" s="115" t="str">
        <f>IF(B132&lt;&gt;"",$H$1,"")</f>
        <v/>
      </c>
      <c r="D229" s="81" t="s">
        <v>170</v>
      </c>
      <c r="F229" s="92"/>
    </row>
    <row r="230" spans="3:6">
      <c r="C230" s="116" t="str">
        <f>IF(B132&lt;&gt;"",CONCATENATE("&lt;a href=",'&lt;!--  Principal  --&gt;'!Comillas,"#",B133,'&lt;!--  Principal  --&gt;'!Comillas," ",$B$197,"&gt;",B132,"&lt;/a&gt;"),"")</f>
        <v/>
      </c>
      <c r="D230" s="81" t="str">
        <f>SUBSTITUTE(B132,"&lt;","&amp;lt;")</f>
        <v/>
      </c>
      <c r="F230" s="92"/>
    </row>
    <row r="231" ht="16.95" spans="3:6">
      <c r="C231" s="117" t="str">
        <f>IF(B132&lt;&gt;"","&lt;/div&gt;","")</f>
        <v/>
      </c>
      <c r="D231" s="81" t="s">
        <v>173</v>
      </c>
      <c r="F231" s="92"/>
    </row>
    <row r="232" spans="3:6">
      <c r="C232" s="115" t="str">
        <f>IF(B142&lt;&gt;"",$H$1,"")</f>
        <v/>
      </c>
      <c r="D232" s="81" t="s">
        <v>170</v>
      </c>
      <c r="F232" s="92"/>
    </row>
    <row r="233" spans="3:6">
      <c r="C233" s="116" t="str">
        <f>IF(B142&lt;&gt;"",CONCATENATE("&lt;a href=",'&lt;!--  Principal  --&gt;'!Comillas,"#",B143,'&lt;!--  Principal  --&gt;'!Comillas," ",$B$197,"&gt;",B142,"&lt;/a&gt;"),"")</f>
        <v/>
      </c>
      <c r="D233" s="81" t="str">
        <f>SUBSTITUTE(B142,"&lt;","&amp;lt;")</f>
        <v/>
      </c>
      <c r="F233" s="92"/>
    </row>
    <row r="234" ht="16.95" spans="3:6">
      <c r="C234" s="117" t="str">
        <f>IF(B142&lt;&gt;"","&lt;/div&gt;","")</f>
        <v/>
      </c>
      <c r="D234" s="81" t="s">
        <v>173</v>
      </c>
      <c r="F234" s="92"/>
    </row>
    <row r="235" spans="3:6">
      <c r="C235" s="115" t="str">
        <f>IF(B156&lt;&gt;"",$H$1,"")</f>
        <v/>
      </c>
      <c r="D235" s="81" t="s">
        <v>170</v>
      </c>
      <c r="F235" s="92"/>
    </row>
    <row r="236" spans="3:6">
      <c r="C236" s="116" t="str">
        <f>IF(B156&lt;&gt;"",CONCATENATE("&lt;a href=",'&lt;!--  Principal  --&gt;'!Comillas,"#",B153,'&lt;!--  Principal  --&gt;'!Comillas," ",$B$197,"&gt;",B152,"&lt;/a&gt;"),"")</f>
        <v/>
      </c>
      <c r="D236" s="81" t="str">
        <f>SUBSTITUTE(B152,"&lt;","&amp;lt;")</f>
        <v/>
      </c>
      <c r="F236" s="92"/>
    </row>
    <row r="237" ht="16.95" spans="3:6">
      <c r="C237" s="117" t="str">
        <f>IF(B156&lt;&gt;"","&lt;/div&gt;","")</f>
        <v/>
      </c>
      <c r="D237" s="81" t="s">
        <v>173</v>
      </c>
      <c r="F237" s="92"/>
    </row>
    <row r="238" ht="16.95" spans="3:6">
      <c r="C238" s="116" t="s">
        <v>177</v>
      </c>
      <c r="D238" s="81" t="str">
        <f t="shared" ref="D238:D245" si="21">""</f>
        <v/>
      </c>
      <c r="F238" s="92"/>
    </row>
    <row r="239" spans="3:6">
      <c r="C239" s="115" t="s">
        <v>101</v>
      </c>
      <c r="F239" s="92"/>
    </row>
    <row r="240" spans="3:6">
      <c r="C240" s="116" t="s">
        <v>178</v>
      </c>
      <c r="F240" s="92"/>
    </row>
    <row r="241" ht="16.95" spans="3:6">
      <c r="C241" s="117" t="s">
        <v>117</v>
      </c>
      <c r="F241" s="92"/>
    </row>
    <row r="242" spans="3:6">
      <c r="C242" s="81" t="s">
        <v>117</v>
      </c>
      <c r="D242" s="81" t="str">
        <f t="shared" si="21"/>
        <v/>
      </c>
      <c r="F242" s="92"/>
    </row>
    <row r="243" spans="3:6">
      <c r="C243" s="81" t="s">
        <v>117</v>
      </c>
      <c r="D243" s="81" t="str">
        <f t="shared" si="21"/>
        <v/>
      </c>
      <c r="F243" s="92"/>
    </row>
    <row r="244" spans="3:6">
      <c r="C244" s="81" t="s">
        <v>117</v>
      </c>
      <c r="D244" s="81" t="str">
        <f t="shared" si="21"/>
        <v/>
      </c>
      <c r="F244" s="92"/>
    </row>
    <row r="245" spans="3:6">
      <c r="C245" s="81" t="s">
        <v>179</v>
      </c>
      <c r="D245" s="81" t="str">
        <f t="shared" si="21"/>
        <v/>
      </c>
      <c r="F245" s="92"/>
    </row>
    <row r="246" spans="3:6">
      <c r="C246" s="81" t="s">
        <v>180</v>
      </c>
      <c r="F246" s="92"/>
    </row>
    <row r="247" spans="3:6">
      <c r="C247" s="84" t="s">
        <v>141</v>
      </c>
      <c r="D247" s="81" t="str">
        <f t="shared" ref="D247:D253" si="22">""</f>
        <v/>
      </c>
      <c r="F247" s="92"/>
    </row>
    <row r="248" spans="3:6">
      <c r="C248" s="81" t="s">
        <v>117</v>
      </c>
      <c r="D248" s="81" t="str">
        <f t="shared" si="22"/>
        <v/>
      </c>
      <c r="F248" s="92"/>
    </row>
    <row r="249" spans="3:6">
      <c r="C249" s="119" t="s">
        <v>142</v>
      </c>
      <c r="D249" s="81" t="str">
        <f t="shared" si="22"/>
        <v/>
      </c>
      <c r="F249" s="92"/>
    </row>
    <row r="250" spans="3:6">
      <c r="D250" s="81" t="str">
        <f t="shared" si="22"/>
        <v/>
      </c>
      <c r="F250" s="92"/>
    </row>
    <row r="251" spans="3:6">
      <c r="C251" s="118"/>
      <c r="D251" s="81" t="str">
        <f t="shared" si="22"/>
        <v/>
      </c>
      <c r="F251" s="92"/>
    </row>
    <row r="252" spans="3:6">
      <c r="D252" s="81" t="str">
        <f t="shared" si="22"/>
        <v/>
      </c>
      <c r="F252" s="92"/>
    </row>
    <row r="253" spans="3:6">
      <c r="D253" s="81" t="str">
        <f t="shared" si="22"/>
        <v/>
      </c>
      <c r="F253" s="92"/>
    </row>
  </sheetData>
  <conditionalFormatting sqref="B13">
    <cfRule type="containsBlanks" dxfId="2" priority="3" stopIfTrue="1">
      <formula>LEN(TRIM(B13))=0</formula>
    </cfRule>
    <cfRule type="duplicateValues" dxfId="0" priority="4" stopIfTrue="1"/>
  </conditionalFormatting>
  <conditionalFormatting sqref="B18">
    <cfRule type="containsBlanks" dxfId="2" priority="1" stopIfTrue="1">
      <formula>LEN(TRIM(B18))=0</formula>
    </cfRule>
    <cfRule type="duplicateValues" dxfId="0" priority="2" stopIfTrue="1"/>
  </conditionalFormatting>
  <conditionalFormatting sqref="B26">
    <cfRule type="containsBlanks" dxfId="2" priority="5" stopIfTrue="1">
      <formula>LEN(TRIM(B26))=0</formula>
    </cfRule>
    <cfRule type="duplicateValues" dxfId="0" priority="6" stopIfTrue="1"/>
  </conditionalFormatting>
  <conditionalFormatting sqref="C32">
    <cfRule type="containsBlanks" dxfId="2" priority="81" stopIfTrue="1">
      <formula>LEN(TRIM(C32))=0</formula>
    </cfRule>
    <cfRule type="duplicateValues" dxfId="0" priority="82"/>
  </conditionalFormatting>
  <conditionalFormatting sqref="C36">
    <cfRule type="containsBlanks" dxfId="2" priority="79" stopIfTrue="1">
      <formula>LEN(TRIM(C36))=0</formula>
    </cfRule>
    <cfRule type="duplicateValues" dxfId="0" priority="80"/>
  </conditionalFormatting>
  <conditionalFormatting sqref="C38">
    <cfRule type="duplicateValues" dxfId="0" priority="83"/>
  </conditionalFormatting>
  <conditionalFormatting sqref="C42">
    <cfRule type="containsBlanks" dxfId="2" priority="54" stopIfTrue="1">
      <formula>LEN(TRIM(C42))=0</formula>
    </cfRule>
    <cfRule type="duplicateValues" dxfId="0" priority="66"/>
  </conditionalFormatting>
  <conditionalFormatting sqref="C46">
    <cfRule type="containsBlanks" dxfId="2" priority="30" stopIfTrue="1">
      <formula>LEN(TRIM(C46))=0</formula>
    </cfRule>
    <cfRule type="duplicateValues" dxfId="0" priority="42"/>
  </conditionalFormatting>
  <conditionalFormatting sqref="C48">
    <cfRule type="duplicateValues" dxfId="0" priority="78"/>
  </conditionalFormatting>
  <conditionalFormatting sqref="C52">
    <cfRule type="containsBlanks" dxfId="2" priority="53" stopIfTrue="1">
      <formula>LEN(TRIM(C52))=0</formula>
    </cfRule>
    <cfRule type="duplicateValues" dxfId="0" priority="65"/>
  </conditionalFormatting>
  <conditionalFormatting sqref="C56">
    <cfRule type="containsBlanks" dxfId="2" priority="29" stopIfTrue="1">
      <formula>LEN(TRIM(C56))=0</formula>
    </cfRule>
    <cfRule type="duplicateValues" dxfId="0" priority="41"/>
  </conditionalFormatting>
  <conditionalFormatting sqref="C58">
    <cfRule type="duplicateValues" dxfId="0" priority="77"/>
  </conditionalFormatting>
  <conditionalFormatting sqref="C62">
    <cfRule type="containsBlanks" dxfId="2" priority="52" stopIfTrue="1">
      <formula>LEN(TRIM(C62))=0</formula>
    </cfRule>
    <cfRule type="duplicateValues" dxfId="0" priority="64"/>
  </conditionalFormatting>
  <conditionalFormatting sqref="C66">
    <cfRule type="containsBlanks" dxfId="2" priority="28" stopIfTrue="1">
      <formula>LEN(TRIM(C66))=0</formula>
    </cfRule>
    <cfRule type="duplicateValues" dxfId="0" priority="40"/>
  </conditionalFormatting>
  <conditionalFormatting sqref="C68">
    <cfRule type="duplicateValues" dxfId="0" priority="76"/>
  </conditionalFormatting>
  <conditionalFormatting sqref="C72">
    <cfRule type="containsBlanks" dxfId="2" priority="51" stopIfTrue="1">
      <formula>LEN(TRIM(C72))=0</formula>
    </cfRule>
    <cfRule type="duplicateValues" dxfId="0" priority="63"/>
  </conditionalFormatting>
  <conditionalFormatting sqref="C76">
    <cfRule type="containsBlanks" dxfId="2" priority="27" stopIfTrue="1">
      <formula>LEN(TRIM(C76))=0</formula>
    </cfRule>
    <cfRule type="duplicateValues" dxfId="0" priority="39"/>
  </conditionalFormatting>
  <conditionalFormatting sqref="C78">
    <cfRule type="duplicateValues" dxfId="0" priority="75"/>
  </conditionalFormatting>
  <conditionalFormatting sqref="C82">
    <cfRule type="containsBlanks" dxfId="2" priority="50" stopIfTrue="1">
      <formula>LEN(TRIM(C82))=0</formula>
    </cfRule>
    <cfRule type="duplicateValues" dxfId="0" priority="62"/>
  </conditionalFormatting>
  <conditionalFormatting sqref="C86">
    <cfRule type="containsBlanks" dxfId="2" priority="26" stopIfTrue="1">
      <formula>LEN(TRIM(C86))=0</formula>
    </cfRule>
    <cfRule type="duplicateValues" dxfId="0" priority="38"/>
  </conditionalFormatting>
  <conditionalFormatting sqref="C88">
    <cfRule type="duplicateValues" dxfId="0" priority="74"/>
  </conditionalFormatting>
  <conditionalFormatting sqref="C92">
    <cfRule type="containsBlanks" dxfId="2" priority="49" stopIfTrue="1">
      <formula>LEN(TRIM(C92))=0</formula>
    </cfRule>
    <cfRule type="duplicateValues" dxfId="0" priority="61"/>
  </conditionalFormatting>
  <conditionalFormatting sqref="C96">
    <cfRule type="containsBlanks" dxfId="2" priority="25" stopIfTrue="1">
      <formula>LEN(TRIM(C96))=0</formula>
    </cfRule>
    <cfRule type="duplicateValues" dxfId="0" priority="37"/>
  </conditionalFormatting>
  <conditionalFormatting sqref="C98">
    <cfRule type="duplicateValues" dxfId="0" priority="73"/>
  </conditionalFormatting>
  <conditionalFormatting sqref="C102">
    <cfRule type="containsBlanks" dxfId="2" priority="48" stopIfTrue="1">
      <formula>LEN(TRIM(C102))=0</formula>
    </cfRule>
    <cfRule type="duplicateValues" dxfId="0" priority="60"/>
  </conditionalFormatting>
  <conditionalFormatting sqref="C106">
    <cfRule type="containsBlanks" dxfId="2" priority="24" stopIfTrue="1">
      <formula>LEN(TRIM(C106))=0</formula>
    </cfRule>
    <cfRule type="duplicateValues" dxfId="0" priority="36"/>
  </conditionalFormatting>
  <conditionalFormatting sqref="C108">
    <cfRule type="duplicateValues" dxfId="0" priority="72"/>
  </conditionalFormatting>
  <conditionalFormatting sqref="C112">
    <cfRule type="containsBlanks" dxfId="2" priority="47" stopIfTrue="1">
      <formula>LEN(TRIM(C112))=0</formula>
    </cfRule>
    <cfRule type="duplicateValues" dxfId="0" priority="59"/>
  </conditionalFormatting>
  <conditionalFormatting sqref="C116">
    <cfRule type="containsBlanks" dxfId="2" priority="23" stopIfTrue="1">
      <formula>LEN(TRIM(C116))=0</formula>
    </cfRule>
    <cfRule type="duplicateValues" dxfId="0" priority="35"/>
  </conditionalFormatting>
  <conditionalFormatting sqref="C118">
    <cfRule type="duplicateValues" dxfId="0" priority="71"/>
  </conditionalFormatting>
  <conditionalFormatting sqref="C122">
    <cfRule type="containsBlanks" dxfId="2" priority="46" stopIfTrue="1">
      <formula>LEN(TRIM(C122))=0</formula>
    </cfRule>
    <cfRule type="duplicateValues" dxfId="0" priority="58"/>
  </conditionalFormatting>
  <conditionalFormatting sqref="C126">
    <cfRule type="containsBlanks" dxfId="2" priority="22" stopIfTrue="1">
      <formula>LEN(TRIM(C126))=0</formula>
    </cfRule>
    <cfRule type="duplicateValues" dxfId="0" priority="34"/>
  </conditionalFormatting>
  <conditionalFormatting sqref="C128">
    <cfRule type="duplicateValues" dxfId="0" priority="70"/>
  </conditionalFormatting>
  <conditionalFormatting sqref="C132">
    <cfRule type="containsBlanks" dxfId="2" priority="45" stopIfTrue="1">
      <formula>LEN(TRIM(C132))=0</formula>
    </cfRule>
    <cfRule type="duplicateValues" dxfId="0" priority="57"/>
  </conditionalFormatting>
  <conditionalFormatting sqref="C136">
    <cfRule type="containsBlanks" dxfId="2" priority="21" stopIfTrue="1">
      <formula>LEN(TRIM(C136))=0</formula>
    </cfRule>
    <cfRule type="duplicateValues" dxfId="0" priority="33"/>
  </conditionalFormatting>
  <conditionalFormatting sqref="C138">
    <cfRule type="duplicateValues" dxfId="0" priority="69"/>
  </conditionalFormatting>
  <conditionalFormatting sqref="C142">
    <cfRule type="containsBlanks" dxfId="2" priority="44" stopIfTrue="1">
      <formula>LEN(TRIM(C142))=0</formula>
    </cfRule>
    <cfRule type="duplicateValues" dxfId="0" priority="56"/>
  </conditionalFormatting>
  <conditionalFormatting sqref="C146">
    <cfRule type="containsBlanks" dxfId="2" priority="20" stopIfTrue="1">
      <formula>LEN(TRIM(C146))=0</formula>
    </cfRule>
    <cfRule type="duplicateValues" dxfId="0" priority="32"/>
  </conditionalFormatting>
  <conditionalFormatting sqref="C148">
    <cfRule type="duplicateValues" dxfId="0" priority="68"/>
  </conditionalFormatting>
  <conditionalFormatting sqref="C152">
    <cfRule type="containsBlanks" dxfId="2" priority="43" stopIfTrue="1">
      <formula>LEN(TRIM(C152))=0</formula>
    </cfRule>
    <cfRule type="duplicateValues" dxfId="0" priority="55"/>
  </conditionalFormatting>
  <conditionalFormatting sqref="C156">
    <cfRule type="containsBlanks" dxfId="2" priority="19" stopIfTrue="1">
      <formula>LEN(TRIM(C156))=0</formula>
    </cfRule>
    <cfRule type="duplicateValues" dxfId="0" priority="31"/>
  </conditionalFormatting>
  <conditionalFormatting sqref="C158">
    <cfRule type="duplicateValues" dxfId="0" priority="67"/>
  </conditionalFormatting>
  <conditionalFormatting sqref="B24:B25">
    <cfRule type="containsBlanks" dxfId="2" priority="13" stopIfTrue="1">
      <formula>LEN(TRIM(B24))=0</formula>
    </cfRule>
    <cfRule type="duplicateValues" dxfId="0" priority="14" stopIfTrue="1"/>
  </conditionalFormatting>
  <conditionalFormatting sqref="B1:B9;B11;B21:B23;B27:B1048576">
    <cfRule type="containsBlanks" dxfId="2" priority="17" stopIfTrue="1">
      <formula>LEN(TRIM(B1))=0</formula>
    </cfRule>
    <cfRule type="duplicateValues" dxfId="0" priority="18" stopIfTrue="1"/>
  </conditionalFormatting>
  <hyperlinks>
    <hyperlink ref="B13" r:id="rId1" display="='&lt;head&gt;'!C8"/>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463"/>
  <sheetViews>
    <sheetView workbookViewId="0">
      <pane ySplit="1" topLeftCell="A42" activePane="bottomLeft" state="frozen"/>
      <selection/>
      <selection pane="bottomLeft" activeCell="B33" sqref="B33"/>
    </sheetView>
  </sheetViews>
  <sheetFormatPr defaultColWidth="9" defaultRowHeight="13.8"/>
  <cols>
    <col min="1" max="1" width="3.3" style="48" customWidth="1"/>
    <col min="2" max="2" width="30.1" customWidth="1"/>
    <col min="3" max="3" width="37.1" customWidth="1"/>
    <col min="4" max="4" width="18.8" customWidth="1"/>
    <col min="5" max="5" width="20.4" customWidth="1"/>
    <col min="6" max="6" width="1.5" customWidth="1"/>
    <col min="7" max="7" width="8.6" customWidth="1"/>
    <col min="8" max="8" width="5.3" customWidth="1"/>
    <col min="9" max="9" width="2.5" customWidth="1"/>
    <col min="10" max="10" width="34.6" customWidth="1"/>
    <col min="11" max="11" width="2" customWidth="1"/>
    <col min="12" max="12" width="45.1" customWidth="1"/>
    <col min="14" max="14" width="1.5" customWidth="1"/>
    <col min="15" max="15" width="8.6" customWidth="1"/>
    <col min="16" max="16" width="5.3" customWidth="1"/>
    <col min="17" max="17" width="3.5" customWidth="1"/>
    <col min="18" max="18" width="40.1" customWidth="1"/>
    <col min="19" max="19" width="2" customWidth="1"/>
    <col min="20" max="20" width="50" customWidth="1"/>
    <col min="22" max="22" width="1.5" customWidth="1"/>
    <col min="23" max="23" width="8.6" customWidth="1"/>
    <col min="24" max="24" width="5.3" customWidth="1"/>
    <col min="25" max="25" width="3.5" customWidth="1"/>
    <col min="26" max="26" width="40.1" customWidth="1"/>
    <col min="27" max="27" width="2" customWidth="1"/>
    <col min="28" max="28" width="50" customWidth="1"/>
  </cols>
  <sheetData>
    <row r="1" ht="14.55" spans="1:29">
      <c r="B1" t="s">
        <v>181</v>
      </c>
      <c r="C1" s="49" t="s">
        <v>181</v>
      </c>
      <c r="F1" t="s">
        <v>100</v>
      </c>
      <c r="L1" s="49" t="str">
        <f>""</f>
        <v/>
      </c>
      <c r="N1" t="str">
        <f t="shared" ref="N1:N64" si="0">""</f>
        <v/>
      </c>
      <c r="Q1" t="s">
        <v>182</v>
      </c>
      <c r="T1" s="49" t="str">
        <f>""</f>
        <v/>
      </c>
      <c r="V1" t="str">
        <f>""</f>
        <v/>
      </c>
      <c r="Y1" t="s">
        <v>183</v>
      </c>
      <c r="AB1" s="49" t="str">
        <f>""</f>
        <v/>
      </c>
    </row>
    <row r="2" spans="1:29">
      <c r="A2" s="50" t="str">
        <f>CONCATENATE("Título ",A4)</f>
        <v>Título 1</v>
      </c>
      <c r="B2" t="s">
        <v>184</v>
      </c>
      <c r="C2" s="51" t="str">
        <f>CONCATENATE("&lt;!-- ",CONCATENATE(B2," ",B3)," --&gt;")</f>
        <v>&lt;!-- Características Principales de Dataframes  --&gt;</v>
      </c>
      <c r="D2" s="52"/>
      <c r="E2" s="53" t="str">
        <f>""</f>
        <v/>
      </c>
      <c r="F2" t="str">
        <f t="shared" ref="F2:F10" si="1">""</f>
        <v/>
      </c>
      <c r="G2" s="54" t="s">
        <v>185</v>
      </c>
      <c r="H2" s="55"/>
      <c r="I2" s="55"/>
      <c r="J2" s="51"/>
      <c r="K2" s="55" t="s">
        <v>2</v>
      </c>
      <c r="L2" s="51" t="str">
        <f>CONCATENATE("&lt;!-- ",CONCATENATE(J2," ",J3)," --&gt;")</f>
        <v>&lt;!--   --&gt;</v>
      </c>
      <c r="M2" s="56"/>
      <c r="N2" t="str">
        <f t="shared" si="0"/>
        <v/>
      </c>
      <c r="O2" s="54" t="str">
        <f>G2</f>
        <v>Título 1 </v>
      </c>
      <c r="P2" s="55"/>
      <c r="Q2" s="55"/>
      <c r="R2" s="57"/>
      <c r="S2" s="55"/>
      <c r="T2" s="55" t="str">
        <f>CONCATENATE("&lt;!-- ",R2," --&gt;")</f>
        <v>&lt;!--  --&gt;</v>
      </c>
      <c r="U2" s="56"/>
      <c r="V2" t="str">
        <f>""</f>
        <v/>
      </c>
      <c r="W2" s="54" t="str">
        <f>O2</f>
        <v>Título 1 </v>
      </c>
      <c r="X2" s="55"/>
      <c r="Y2" s="55"/>
      <c r="Z2" s="57"/>
      <c r="AA2" s="55"/>
      <c r="AB2" s="55" t="str">
        <f>CONCATENATE("&lt;!-- ",Z2," --&gt;")</f>
        <v>&lt;!--  --&gt;</v>
      </c>
      <c r="AC2" s="56"/>
    </row>
    <row r="3" ht="14.4" spans="1:29">
      <c r="A3" s="58" t="s">
        <v>186</v>
      </c>
      <c r="C3" t="str">
        <f>IF(B4&lt;&gt;"",CONCATENATE("&lt;div id=",Comilla,B5,Comilla,"&gt;"),"")</f>
        <v>&lt;div id="características-principales-de-dataframes"&gt;</v>
      </c>
      <c r="D3" s="59"/>
      <c r="E3" s="60" t="str">
        <f>CONCATENATE(" &lt;a href=",Comilla,"#",B5,Comilla," class=",Comilla,"submenu-item",Comilla,"&gt;",B2,"&lt;/a&gt;")</f>
        <v> &lt;a href="#características-principales-de-dataframes" class="submenu-item"&gt;Características Principales de Dataframes&lt;/a&gt;</v>
      </c>
      <c r="F3" t="str">
        <f t="shared" si="1"/>
        <v/>
      </c>
      <c r="G3" s="61" t="s">
        <v>186</v>
      </c>
      <c r="H3" s="62" t="s">
        <v>187</v>
      </c>
      <c r="I3" s="63" t="s">
        <v>188</v>
      </c>
      <c r="J3" s="64"/>
      <c r="L3" t="str">
        <f>IF(J2&lt;&gt;"","&lt;div&gt;","")</f>
        <v/>
      </c>
      <c r="M3" s="65"/>
      <c r="N3" t="str">
        <f t="shared" si="0"/>
        <v/>
      </c>
      <c r="O3" s="61" t="s">
        <v>186</v>
      </c>
      <c r="P3" s="62" t="s">
        <v>187</v>
      </c>
      <c r="Q3" s="63" t="s">
        <v>188</v>
      </c>
      <c r="T3" t="str">
        <f>CONCATENATE(P3,R3,Q3)</f>
        <v>&lt;div &gt;</v>
      </c>
      <c r="U3" s="65"/>
      <c r="V3" t="str">
        <f>""</f>
        <v/>
      </c>
      <c r="W3" s="61" t="s">
        <v>186</v>
      </c>
      <c r="X3" s="62" t="s">
        <v>187</v>
      </c>
      <c r="Y3" s="63" t="s">
        <v>188</v>
      </c>
      <c r="AB3" t="str">
        <f>CONCATENATE(X3,Z3,Y3)</f>
        <v>&lt;div &gt;</v>
      </c>
      <c r="AC3" s="65"/>
    </row>
    <row r="4" spans="1:29">
      <c r="A4" s="66">
        <v>1</v>
      </c>
      <c r="B4" s="67" t="str">
        <f>IF(B2="","",SUBSTITUTE(SUBSTITUTE(SUBSTITUTE(SUBSTITUTE(SUBSTITUTE(SUBSTITUTE(SUBSTITUTE(SUBSTITUTE(LOWER(CONCATENATE(B2," ",B3))," ","-"),"&lt;",""),"&gt;",""),"ó","o"),"?",""),"¿",""),"é","e"),"á","a"))</f>
        <v>características-principales-de-dataframes-</v>
      </c>
      <c r="C4" s="68" t="str">
        <f>CONCATENATE("&lt;h3&gt;",SUBSTITUTE(CONCATENATE(B2," ",B3),"&lt;","&amp;lt;"),"&lt;/h3&gt;")</f>
        <v>&lt;h3&gt;Características Principales de Dataframes &lt;/h3&gt;</v>
      </c>
      <c r="D4" s="59"/>
      <c r="E4" s="60"/>
      <c r="F4" t="str">
        <f t="shared" si="1"/>
        <v/>
      </c>
      <c r="G4" s="61">
        <v>1</v>
      </c>
      <c r="J4" s="59"/>
      <c r="K4" s="59"/>
      <c r="L4" s="68" t="str">
        <f>CONCATENATE("&lt;h4&gt;",SUBSTITUTE(CONCATENATE(J2," ",J3),"&lt;","&amp;lt;"),"&lt;/h4&gt;")</f>
        <v>&lt;h4&gt; &lt;/h4&gt;</v>
      </c>
      <c r="M4" s="65"/>
      <c r="N4" t="str">
        <f t="shared" si="0"/>
        <v/>
      </c>
      <c r="O4" s="61">
        <v>1</v>
      </c>
      <c r="T4" t="str">
        <f>CONCATENATE("&lt;h5&gt;",R2,"&lt;/h5&gt;")</f>
        <v>&lt;h5&gt;&lt;/h5&gt;</v>
      </c>
      <c r="U4" s="65"/>
      <c r="V4" t="str">
        <f>""</f>
        <v/>
      </c>
      <c r="W4" s="61">
        <v>1</v>
      </c>
      <c r="AB4" t="str">
        <f>CONCATENATE("&lt;",$Y$1,"&gt;",Z2,"&lt;/",$Y$1,"&gt;")</f>
        <v>&lt;h6&gt;&lt;/h6&gt;</v>
      </c>
      <c r="AC4" s="65"/>
    </row>
    <row r="5" spans="1:29">
      <c r="A5" s="58" t="str">
        <f>""</f>
        <v/>
      </c>
      <c r="B5" s="67" t="str">
        <f>IF(B4&lt;&gt;"",IF(B3="",LEFT(B4,LEN(B4)-1),B4),"")</f>
        <v>características-principales-de-dataframes</v>
      </c>
      <c r="D5" s="59"/>
      <c r="E5" s="60"/>
      <c r="F5" t="str">
        <f t="shared" si="1"/>
        <v/>
      </c>
      <c r="G5" s="61" t="s">
        <v>189</v>
      </c>
      <c r="J5" s="64"/>
      <c r="K5" t="s">
        <v>2</v>
      </c>
      <c r="L5" t="str">
        <f>IF(J5&lt;&gt;"",CONCATENATE("&lt;p&gt;",J5,"&lt;/p&gt;"),"")</f>
        <v/>
      </c>
      <c r="M5" s="65"/>
      <c r="N5" t="str">
        <f t="shared" si="0"/>
        <v/>
      </c>
      <c r="O5" s="61" t="s">
        <v>189</v>
      </c>
      <c r="R5" s="64"/>
      <c r="S5" t="s">
        <v>2</v>
      </c>
      <c r="T5" t="str">
        <f>IF(R5&lt;&gt;"",R5,"")</f>
        <v/>
      </c>
      <c r="U5" s="65"/>
      <c r="V5" t="str">
        <f t="shared" ref="V5:V63" si="2">""</f>
        <v/>
      </c>
      <c r="W5" s="61" t="s">
        <v>189</v>
      </c>
      <c r="Z5" s="64"/>
      <c r="AA5" t="s">
        <v>2</v>
      </c>
      <c r="AB5" t="str">
        <f>IF(Z5&lt;&gt;"",Z5,"")</f>
        <v/>
      </c>
      <c r="AC5" s="65"/>
    </row>
    <row r="6" spans="1:29">
      <c r="A6" s="58" t="s">
        <v>189</v>
      </c>
      <c r="B6" s="64"/>
      <c r="C6" t="s">
        <v>117</v>
      </c>
      <c r="D6" s="59"/>
      <c r="E6" s="60"/>
      <c r="F6" t="str">
        <f t="shared" si="1"/>
        <v/>
      </c>
      <c r="G6" s="61" t="str">
        <f t="shared" ref="G6:G8" si="3">""</f>
        <v/>
      </c>
      <c r="L6" t="s">
        <v>117</v>
      </c>
      <c r="M6" s="65"/>
      <c r="N6" t="str">
        <f t="shared" si="0"/>
        <v/>
      </c>
      <c r="O6" s="61" t="str">
        <f t="shared" ref="O4:O8" si="4">""</f>
        <v/>
      </c>
      <c r="T6" t="s">
        <v>117</v>
      </c>
      <c r="U6" s="65"/>
      <c r="V6" t="str">
        <f t="shared" si="2"/>
        <v/>
      </c>
      <c r="W6" s="61" t="str">
        <f t="shared" ref="W6:W8" si="5">""</f>
        <v/>
      </c>
      <c r="AB6" t="s">
        <v>117</v>
      </c>
      <c r="AC6" s="65"/>
    </row>
    <row r="7" ht="14.55" spans="1:29">
      <c r="A7" s="69" t="str">
        <f t="shared" ref="A7:A12" si="6">""</f>
        <v/>
      </c>
      <c r="C7" s="49" t="str">
        <f>CONCATENATE("&lt;!-- ",CONCATENATE(B2," ",B3," fin")," --&gt;")</f>
        <v>&lt;!-- Características Principales de Dataframes  fin --&gt;</v>
      </c>
      <c r="D7" s="70"/>
      <c r="E7" s="71"/>
      <c r="F7" t="str">
        <f t="shared" si="1"/>
        <v/>
      </c>
      <c r="G7" s="72" t="str">
        <f t="shared" si="3"/>
        <v/>
      </c>
      <c r="H7" s="49"/>
      <c r="I7" s="49"/>
      <c r="J7" s="49"/>
      <c r="K7" s="49"/>
      <c r="L7" s="49" t="str">
        <f>CONCATENATE("&lt;!-- ",CONCATENATE(J2," ",J3," fin")," --&gt;")</f>
        <v>&lt;!--   fin --&gt;</v>
      </c>
      <c r="M7" s="73"/>
      <c r="N7" t="str">
        <f t="shared" si="0"/>
        <v/>
      </c>
      <c r="O7" s="72" t="str">
        <f t="shared" si="4"/>
        <v/>
      </c>
      <c r="P7" s="49"/>
      <c r="Q7" s="49"/>
      <c r="R7" s="49"/>
      <c r="S7" s="49"/>
      <c r="T7" s="49" t="str">
        <f>CONCATENATE("&lt;!-- ",R2," fin --&gt;")</f>
        <v>&lt;!--  fin --&gt;</v>
      </c>
      <c r="U7" s="73"/>
      <c r="V7" t="str">
        <f t="shared" si="2"/>
        <v/>
      </c>
      <c r="W7" s="72" t="str">
        <f t="shared" si="5"/>
        <v/>
      </c>
      <c r="X7" s="49"/>
      <c r="Y7" s="49"/>
      <c r="Z7" s="49"/>
      <c r="AA7" s="49"/>
      <c r="AB7" s="49" t="str">
        <f>CONCATENATE("&lt;!-- ",Z2," fin --&gt;")</f>
        <v>&lt;!--  fin --&gt;</v>
      </c>
      <c r="AC7" s="73"/>
    </row>
    <row r="8" ht="14.55" spans="1:29">
      <c r="A8" s="74" t="str">
        <f t="shared" si="6"/>
        <v/>
      </c>
      <c r="B8" s="52"/>
      <c r="C8" s="49" t="str">
        <f>""</f>
        <v/>
      </c>
      <c r="D8" s="49"/>
      <c r="E8" s="49"/>
      <c r="F8" t="str">
        <f t="shared" si="1"/>
        <v/>
      </c>
      <c r="G8" s="61" t="str">
        <f t="shared" si="3"/>
        <v/>
      </c>
      <c r="H8" s="55"/>
      <c r="I8" s="55"/>
      <c r="J8" s="52"/>
      <c r="K8" s="55"/>
      <c r="L8" s="49" t="str">
        <f>""</f>
        <v/>
      </c>
      <c r="N8" t="str">
        <f t="shared" si="0"/>
        <v/>
      </c>
      <c r="O8" s="54" t="str">
        <f t="shared" si="4"/>
        <v/>
      </c>
      <c r="P8" s="55"/>
      <c r="Q8" s="55"/>
      <c r="R8" s="52"/>
      <c r="S8" s="55"/>
      <c r="T8" s="49" t="str">
        <f>""</f>
        <v/>
      </c>
      <c r="V8" t="str">
        <f t="shared" si="2"/>
        <v/>
      </c>
      <c r="W8" s="54" t="str">
        <f t="shared" si="5"/>
        <v/>
      </c>
      <c r="X8" s="55"/>
      <c r="Y8" s="55"/>
      <c r="Z8" s="52"/>
      <c r="AA8" s="55"/>
      <c r="AB8" s="49" t="str">
        <f>""</f>
        <v/>
      </c>
    </row>
    <row r="9" spans="1:29">
      <c r="A9" s="50" t="str">
        <f>CONCATENATE("Título ",A11)</f>
        <v>Título 2</v>
      </c>
      <c r="B9" s="57" t="s">
        <v>190</v>
      </c>
      <c r="C9" s="51" t="str">
        <f>CONCATENATE("&lt;!-- ",CONCATENATE(B9," ",B10)," --&gt;")</f>
        <v>&lt;!-- Ejemplo Básico  --&gt;</v>
      </c>
      <c r="D9" s="52"/>
      <c r="E9" s="53" t="str">
        <f>""</f>
        <v/>
      </c>
      <c r="F9" t="str">
        <f t="shared" si="1"/>
        <v/>
      </c>
      <c r="G9" s="54" t="str">
        <f>CONCATENATE("Título ",G11)</f>
        <v>Título 2</v>
      </c>
      <c r="H9" s="55"/>
      <c r="I9" s="55"/>
      <c r="J9" s="57"/>
      <c r="K9" s="55" t="s">
        <v>2</v>
      </c>
      <c r="L9" s="51" t="str">
        <f>CONCATENATE("&lt;!-- ",CONCATENATE(J9," ",J10)," --&gt;")</f>
        <v>&lt;!--   --&gt;</v>
      </c>
      <c r="M9" s="56"/>
      <c r="N9" t="str">
        <f t="shared" si="0"/>
        <v/>
      </c>
      <c r="O9" s="54" t="str">
        <f>G9</f>
        <v>Título 2</v>
      </c>
      <c r="P9" s="55"/>
      <c r="Q9" s="55"/>
      <c r="R9" s="57"/>
      <c r="S9" s="55"/>
      <c r="T9" s="55" t="str">
        <f>CONCATENATE("&lt;!-- ",R9," --&gt;")</f>
        <v>&lt;!--  --&gt;</v>
      </c>
      <c r="U9" s="56"/>
      <c r="V9" t="str">
        <f t="shared" si="2"/>
        <v/>
      </c>
      <c r="W9" s="54" t="str">
        <f>O9</f>
        <v>Título 2</v>
      </c>
      <c r="X9" s="55"/>
      <c r="Y9" s="55"/>
      <c r="Z9" s="57"/>
      <c r="AA9" s="55"/>
      <c r="AB9" s="55" t="str">
        <f>CONCATENATE("&lt;!-- ",Z9," --&gt;")</f>
        <v>&lt;!--  --&gt;</v>
      </c>
      <c r="AC9" s="56"/>
    </row>
    <row r="10" ht="14.4" spans="1:29">
      <c r="A10" s="58" t="s">
        <v>186</v>
      </c>
      <c r="C10" t="str">
        <f>IF(B11&lt;&gt;"",CONCATENATE("&lt;div id=",Comilla,B12,Comilla,"&gt;"),"")</f>
        <v>&lt;div id="ejemplo-basico"&gt;</v>
      </c>
      <c r="D10" s="59"/>
      <c r="E10" s="60" t="str">
        <f>CONCATENATE(" &lt;a href=",Comilla,"#",B12,Comilla," class=",Comilla,"submenu-item",Comilla,"&gt;",B9,"&lt;/a&gt;")</f>
        <v> &lt;a href="#ejemplo-basico" class="submenu-item"&gt;Ejemplo Básico&lt;/a&gt;</v>
      </c>
      <c r="F10" t="str">
        <f t="shared" si="1"/>
        <v/>
      </c>
      <c r="G10" s="61" t="s">
        <v>186</v>
      </c>
      <c r="H10" s="62" t="s">
        <v>187</v>
      </c>
      <c r="I10" s="63" t="s">
        <v>188</v>
      </c>
      <c r="J10" s="64"/>
      <c r="L10" t="str">
        <f>IF(J9&lt;&gt;"","&lt;div&gt;","")</f>
        <v/>
      </c>
      <c r="M10" s="65"/>
      <c r="N10" t="str">
        <f t="shared" si="0"/>
        <v/>
      </c>
      <c r="O10" s="61" t="s">
        <v>186</v>
      </c>
      <c r="P10" s="62" t="s">
        <v>187</v>
      </c>
      <c r="Q10" s="63" t="s">
        <v>188</v>
      </c>
      <c r="T10" t="str">
        <f>CONCATENATE(P10,R10,Q10)</f>
        <v>&lt;div &gt;</v>
      </c>
      <c r="U10" s="65"/>
      <c r="V10" t="str">
        <f t="shared" si="2"/>
        <v/>
      </c>
      <c r="W10" s="61" t="s">
        <v>186</v>
      </c>
      <c r="X10" s="62" t="s">
        <v>187</v>
      </c>
      <c r="Y10" s="63" t="s">
        <v>188</v>
      </c>
      <c r="AB10" t="str">
        <f>CONCATENATE(X10,Z10,Y10)</f>
        <v>&lt;div &gt;</v>
      </c>
      <c r="AC10" s="65"/>
    </row>
    <row r="11" spans="1:29">
      <c r="A11" s="66">
        <f>A4+1</f>
        <v>2</v>
      </c>
      <c r="B11" s="67" t="str">
        <f>IF(B9="","",SUBSTITUTE(SUBSTITUTE(SUBSTITUTE(SUBSTITUTE(SUBSTITUTE(SUBSTITUTE(SUBSTITUTE(SUBSTITUTE(LOWER(CONCATENATE(B9," ",B10))," ","-"),"&lt;",""),"&gt;",""),"ó","o"),"?",""),"¿",""),"é","e"),"á","a"))</f>
        <v>ejemplo-basico-</v>
      </c>
      <c r="C11" s="68" t="str">
        <f>CONCATENATE("&lt;h3&gt;",SUBSTITUTE(CONCATENATE(B9," ",B10),"&lt;","&amp;lt;"),"&lt;/h3&gt;")</f>
        <v>&lt;h3&gt;Ejemplo Básico &lt;/h3&gt;</v>
      </c>
      <c r="D11" s="59"/>
      <c r="E11" s="60"/>
      <c r="F11" t="str">
        <f t="shared" ref="F11:F22" si="7">""</f>
        <v/>
      </c>
      <c r="G11" s="61">
        <f>G4+1</f>
        <v>2</v>
      </c>
      <c r="J11" s="59"/>
      <c r="K11" s="59"/>
      <c r="L11" s="68" t="str">
        <f>CONCATENATE("&lt;h4&gt;",SUBSTITUTE(CONCATENATE(J9," ",J10),"&lt;","&amp;lt;"),"&lt;/h4&gt;")</f>
        <v>&lt;h4&gt; &lt;/h4&gt;</v>
      </c>
      <c r="M11" s="65"/>
      <c r="N11" t="str">
        <f t="shared" si="0"/>
        <v/>
      </c>
      <c r="O11" s="61">
        <f>O4+1</f>
        <v>2</v>
      </c>
      <c r="T11" t="str">
        <f>CONCATENATE("&lt;h5&gt;",R9,"&lt;/h5&gt;")</f>
        <v>&lt;h5&gt;&lt;/h5&gt;</v>
      </c>
      <c r="U11" s="65"/>
      <c r="V11" t="str">
        <f t="shared" si="2"/>
        <v/>
      </c>
      <c r="W11" s="61">
        <f>W4+1</f>
        <v>2</v>
      </c>
      <c r="AB11" t="str">
        <f>CONCATENATE("&lt;",$Y$1,"&gt;",Z9,"&lt;/",$Y$1,"&gt;")</f>
        <v>&lt;h6&gt;&lt;/h6&gt;</v>
      </c>
      <c r="AC11" s="65"/>
    </row>
    <row r="12" spans="1:29">
      <c r="A12" s="58" t="str">
        <f t="shared" si="6"/>
        <v/>
      </c>
      <c r="B12" s="67" t="str">
        <f>IF(B11&lt;&gt;"",IF(B10="",LEFT(B11,LEN(B11)-1),B11),"")</f>
        <v>ejemplo-basico</v>
      </c>
      <c r="D12" s="59"/>
      <c r="E12" s="60"/>
      <c r="F12" t="str">
        <f t="shared" si="7"/>
        <v/>
      </c>
      <c r="G12" s="61" t="s">
        <v>189</v>
      </c>
      <c r="J12" s="64"/>
      <c r="K12" t="s">
        <v>2</v>
      </c>
      <c r="L12" t="str">
        <f>IF(J12&lt;&gt;"",CONCATENATE("&lt;p&gt;",J12,"&lt;/p&gt;"),"")</f>
        <v/>
      </c>
      <c r="M12" s="65"/>
      <c r="N12" t="str">
        <f t="shared" si="0"/>
        <v/>
      </c>
      <c r="O12" s="61" t="s">
        <v>189</v>
      </c>
      <c r="R12" s="64"/>
      <c r="S12" t="s">
        <v>2</v>
      </c>
      <c r="T12" t="str">
        <f>IF(R12&lt;&gt;"",R12,"")</f>
        <v/>
      </c>
      <c r="U12" s="65"/>
      <c r="V12" t="str">
        <f t="shared" si="2"/>
        <v/>
      </c>
      <c r="W12" s="61" t="s">
        <v>189</v>
      </c>
      <c r="Z12" s="64"/>
      <c r="AA12" t="s">
        <v>2</v>
      </c>
      <c r="AB12" t="str">
        <f>IF(Z12&lt;&gt;"",Z12,"")</f>
        <v/>
      </c>
      <c r="AC12" s="65"/>
    </row>
    <row r="13" spans="1:29">
      <c r="A13" s="58" t="s">
        <v>189</v>
      </c>
      <c r="B13" s="64"/>
      <c r="C13" t="s">
        <v>117</v>
      </c>
      <c r="D13" s="59"/>
      <c r="E13" s="60"/>
      <c r="F13" t="str">
        <f t="shared" si="7"/>
        <v/>
      </c>
      <c r="G13" s="61" t="str">
        <f t="shared" ref="G13:G15" si="8">""</f>
        <v/>
      </c>
      <c r="L13" t="s">
        <v>117</v>
      </c>
      <c r="M13" s="65"/>
      <c r="N13" t="str">
        <f t="shared" si="0"/>
        <v/>
      </c>
      <c r="O13" s="61" t="str">
        <f t="shared" ref="O13:O15" si="9">""</f>
        <v/>
      </c>
      <c r="T13" t="s">
        <v>117</v>
      </c>
      <c r="U13" s="65"/>
      <c r="V13" t="str">
        <f t="shared" si="2"/>
        <v/>
      </c>
      <c r="W13" s="61" t="str">
        <f t="shared" ref="W13:W15" si="10">""</f>
        <v/>
      </c>
      <c r="AB13" t="s">
        <v>117</v>
      </c>
      <c r="AC13" s="65"/>
    </row>
    <row r="14" ht="14.55" spans="1:29">
      <c r="A14" s="69" t="str">
        <f t="shared" ref="A14:A19" si="11">""</f>
        <v/>
      </c>
      <c r="C14" s="49" t="str">
        <f>CONCATENATE("&lt;!-- ",CONCATENATE(B9," ",B10," fin")," --&gt;")</f>
        <v>&lt;!-- Ejemplo Básico  fin --&gt;</v>
      </c>
      <c r="D14" s="70"/>
      <c r="E14" s="71"/>
      <c r="F14" t="str">
        <f t="shared" si="7"/>
        <v/>
      </c>
      <c r="G14" s="72" t="str">
        <f t="shared" si="8"/>
        <v/>
      </c>
      <c r="H14" s="49"/>
      <c r="I14" s="49"/>
      <c r="J14" s="49"/>
      <c r="K14" s="49"/>
      <c r="L14" s="49" t="str">
        <f>CONCATENATE("&lt;!-- ",CONCATENATE(J9," ",J10," fin")," --&gt;")</f>
        <v>&lt;!--   fin --&gt;</v>
      </c>
      <c r="M14" s="73"/>
      <c r="N14" t="str">
        <f t="shared" si="0"/>
        <v/>
      </c>
      <c r="O14" s="72" t="str">
        <f t="shared" si="9"/>
        <v/>
      </c>
      <c r="P14" s="49"/>
      <c r="Q14" s="49"/>
      <c r="R14" s="49"/>
      <c r="S14" s="49"/>
      <c r="T14" s="49" t="str">
        <f>CONCATENATE("&lt;!-- ",R9," fin --&gt;")</f>
        <v>&lt;!--  fin --&gt;</v>
      </c>
      <c r="U14" s="73"/>
      <c r="V14" t="str">
        <f t="shared" si="2"/>
        <v/>
      </c>
      <c r="W14" s="72" t="str">
        <f t="shared" si="10"/>
        <v/>
      </c>
      <c r="X14" s="49"/>
      <c r="Y14" s="49"/>
      <c r="Z14" s="49"/>
      <c r="AA14" s="49"/>
      <c r="AB14" s="49" t="str">
        <f>CONCATENATE("&lt;!-- ",Z9," fin --&gt;")</f>
        <v>&lt;!--  fin --&gt;</v>
      </c>
      <c r="AC14" s="73"/>
    </row>
    <row r="15" ht="14.55" spans="1:29">
      <c r="A15" s="74" t="str">
        <f t="shared" si="11"/>
        <v/>
      </c>
      <c r="B15" s="52"/>
      <c r="C15" s="49" t="str">
        <f>""</f>
        <v/>
      </c>
      <c r="D15" s="49"/>
      <c r="E15" s="49"/>
      <c r="F15" t="str">
        <f t="shared" si="7"/>
        <v/>
      </c>
      <c r="G15" s="61" t="str">
        <f t="shared" si="8"/>
        <v/>
      </c>
      <c r="H15" s="75"/>
      <c r="I15" s="75"/>
      <c r="J15" s="52"/>
      <c r="K15" s="55"/>
      <c r="L15" s="49" t="str">
        <f>""</f>
        <v/>
      </c>
      <c r="N15" t="str">
        <f t="shared" si="0"/>
        <v/>
      </c>
      <c r="O15" s="54" t="str">
        <f t="shared" si="9"/>
        <v/>
      </c>
      <c r="P15" s="55"/>
      <c r="Q15" s="55"/>
      <c r="R15" s="52"/>
      <c r="S15" s="55"/>
      <c r="T15" s="49" t="str">
        <f>""</f>
        <v/>
      </c>
      <c r="V15" t="str">
        <f t="shared" si="2"/>
        <v/>
      </c>
      <c r="W15" s="54" t="str">
        <f t="shared" si="10"/>
        <v/>
      </c>
      <c r="X15" s="55"/>
      <c r="Y15" s="55"/>
      <c r="Z15" s="52"/>
      <c r="AA15" s="55"/>
      <c r="AB15" s="49" t="str">
        <f>""</f>
        <v/>
      </c>
    </row>
    <row r="16" spans="1:29">
      <c r="A16" s="50" t="str">
        <f>CONCATENATE("Título ",A18)</f>
        <v>Título 3</v>
      </c>
      <c r="B16" s="57" t="s">
        <v>191</v>
      </c>
      <c r="C16" s="51" t="str">
        <f>CONCATENATE("&lt;!-- ",CONCATENATE(B16," ",B17)," --&gt;")</f>
        <v>&lt;!-- Acceder a los datos  --&gt;</v>
      </c>
      <c r="D16" s="52"/>
      <c r="E16" s="53" t="str">
        <f>""</f>
        <v/>
      </c>
      <c r="F16" t="str">
        <f t="shared" si="7"/>
        <v/>
      </c>
      <c r="G16" s="54" t="str">
        <f>CONCATENATE("Título ",G18)</f>
        <v>Título 3</v>
      </c>
      <c r="H16" s="55"/>
      <c r="I16" s="55"/>
      <c r="J16" s="57"/>
      <c r="K16" s="55" t="s">
        <v>2</v>
      </c>
      <c r="L16" s="51" t="str">
        <f>CONCATENATE("&lt;!-- ",CONCATENATE(J16," ",J17)," --&gt;")</f>
        <v>&lt;!--   --&gt;</v>
      </c>
      <c r="M16" s="56"/>
      <c r="N16" t="str">
        <f t="shared" si="0"/>
        <v/>
      </c>
      <c r="O16" s="54" t="str">
        <f>G16</f>
        <v>Título 3</v>
      </c>
      <c r="P16" s="55"/>
      <c r="Q16" s="55"/>
      <c r="R16" s="57"/>
      <c r="S16" s="55"/>
      <c r="T16" s="55" t="str">
        <f>CONCATENATE("&lt;!-- ",R16," --&gt;")</f>
        <v>&lt;!--  --&gt;</v>
      </c>
      <c r="U16" s="56"/>
      <c r="V16" t="str">
        <f t="shared" si="2"/>
        <v/>
      </c>
      <c r="W16" s="54" t="str">
        <f>O16</f>
        <v>Título 3</v>
      </c>
      <c r="X16" s="55"/>
      <c r="Y16" s="55"/>
      <c r="Z16" s="57"/>
      <c r="AA16" s="55"/>
      <c r="AB16" s="55" t="str">
        <f>CONCATENATE("&lt;!-- ",Z16," --&gt;")</f>
        <v>&lt;!--  --&gt;</v>
      </c>
      <c r="AC16" s="56"/>
    </row>
    <row r="17" ht="14.4" spans="1:29">
      <c r="A17" s="58" t="s">
        <v>186</v>
      </c>
      <c r="C17" t="str">
        <f>IF(B18&lt;&gt;"",CONCATENATE("&lt;div id=",Comilla,B19,Comilla,"&gt;"),"")</f>
        <v>&lt;div id="acceder-a-los-datos"&gt;</v>
      </c>
      <c r="D17" s="59"/>
      <c r="E17" s="60" t="str">
        <f>CONCATENATE(" &lt;a href=",Comilla,"#",B19,Comilla," class=",Comilla,"submenu-item",Comilla,"&gt;",B16,"&lt;/a&gt;")</f>
        <v> &lt;a href="#acceder-a-los-datos" class="submenu-item"&gt;Acceder a los datos&lt;/a&gt;</v>
      </c>
      <c r="F17" t="str">
        <f t="shared" si="7"/>
        <v/>
      </c>
      <c r="G17" s="61" t="s">
        <v>186</v>
      </c>
      <c r="H17" s="62" t="s">
        <v>187</v>
      </c>
      <c r="I17" s="63" t="s">
        <v>188</v>
      </c>
      <c r="J17" s="64"/>
      <c r="L17" t="str">
        <f>IF(J16&lt;&gt;"","&lt;div&gt;","")</f>
        <v/>
      </c>
      <c r="M17" s="65"/>
      <c r="N17" t="str">
        <f t="shared" si="0"/>
        <v/>
      </c>
      <c r="O17" s="61" t="s">
        <v>186</v>
      </c>
      <c r="P17" s="62" t="s">
        <v>187</v>
      </c>
      <c r="Q17" s="63" t="s">
        <v>188</v>
      </c>
      <c r="T17" t="str">
        <f>CONCATENATE(P17,R17,Q17)</f>
        <v>&lt;div &gt;</v>
      </c>
      <c r="U17" s="65"/>
      <c r="V17" t="str">
        <f t="shared" si="2"/>
        <v/>
      </c>
      <c r="W17" s="61" t="s">
        <v>186</v>
      </c>
      <c r="X17" s="62" t="s">
        <v>187</v>
      </c>
      <c r="Y17" s="63" t="s">
        <v>188</v>
      </c>
      <c r="AB17" t="str">
        <f>CONCATENATE(X17,Z17,Y17)</f>
        <v>&lt;div &gt;</v>
      </c>
      <c r="AC17" s="65"/>
    </row>
    <row r="18" spans="1:29">
      <c r="A18" s="66">
        <f>A11+1</f>
        <v>3</v>
      </c>
      <c r="B18" s="67" t="str">
        <f>IF(B16="","",SUBSTITUTE(SUBSTITUTE(SUBSTITUTE(SUBSTITUTE(SUBSTITUTE(SUBSTITUTE(SUBSTITUTE(SUBSTITUTE(LOWER(CONCATENATE(B16," ",B17))," ","-"),"&lt;",""),"&gt;",""),"ó","o"),"?",""),"¿",""),"é","e"),"á","a"))</f>
        <v>acceder-a-los-datos-</v>
      </c>
      <c r="C18" s="68" t="str">
        <f>CONCATENATE("&lt;h3&gt;",SUBSTITUTE(CONCATENATE(B16," ",B17),"&lt;","&amp;lt;"),"&lt;/h3&gt;")</f>
        <v>&lt;h3&gt;Acceder a los datos &lt;/h3&gt;</v>
      </c>
      <c r="D18" s="59"/>
      <c r="E18" s="60"/>
      <c r="F18" t="str">
        <f t="shared" si="7"/>
        <v/>
      </c>
      <c r="G18" s="61">
        <f>G11+1</f>
        <v>3</v>
      </c>
      <c r="J18" s="59"/>
      <c r="K18" s="59"/>
      <c r="L18" s="68" t="str">
        <f>CONCATENATE("&lt;h4&gt;",SUBSTITUTE(CONCATENATE(J16," ",J17),"&lt;","&amp;lt;"),"&lt;/h4&gt;")</f>
        <v>&lt;h4&gt; &lt;/h4&gt;</v>
      </c>
      <c r="M18" s="65"/>
      <c r="N18" t="str">
        <f t="shared" si="0"/>
        <v/>
      </c>
      <c r="O18" s="61">
        <f>O11+1</f>
        <v>3</v>
      </c>
      <c r="T18" t="str">
        <f>CONCATENATE("&lt;h5&gt;",R16,"&lt;/h5&gt;")</f>
        <v>&lt;h5&gt;&lt;/h5&gt;</v>
      </c>
      <c r="U18" s="65"/>
      <c r="V18" t="str">
        <f t="shared" si="2"/>
        <v/>
      </c>
      <c r="W18" s="61">
        <f>W11+1</f>
        <v>3</v>
      </c>
      <c r="AB18" t="str">
        <f>CONCATENATE("&lt;",$Y$1,"&gt;",Z16,"&lt;/",$Y$1,"&gt;")</f>
        <v>&lt;h6&gt;&lt;/h6&gt;</v>
      </c>
      <c r="AC18" s="65"/>
    </row>
    <row r="19" customFormat="1" spans="1:29">
      <c r="A19" s="58" t="str">
        <f t="shared" si="11"/>
        <v/>
      </c>
      <c r="B19" s="67" t="str">
        <f>IF(B18&lt;&gt;"",IF(B17="",LEFT(B18,LEN(B18)-1),B18),"")</f>
        <v>acceder-a-los-datos</v>
      </c>
      <c r="D19" s="59"/>
      <c r="E19" s="60"/>
      <c r="F19" t="str">
        <f t="shared" si="7"/>
        <v/>
      </c>
      <c r="G19" s="61" t="s">
        <v>189</v>
      </c>
      <c r="J19" s="64"/>
      <c r="K19" t="s">
        <v>2</v>
      </c>
      <c r="L19" t="str">
        <f>IF(J19&lt;&gt;"",CONCATENATE("&lt;p&gt;",J19,"&lt;/p&gt;"),"")</f>
        <v/>
      </c>
      <c r="M19" s="65"/>
      <c r="N19" t="str">
        <f t="shared" si="0"/>
        <v/>
      </c>
      <c r="O19" s="61" t="s">
        <v>189</v>
      </c>
      <c r="R19" s="64"/>
      <c r="S19" t="s">
        <v>2</v>
      </c>
      <c r="T19" t="str">
        <f>IF(R19&lt;&gt;"",R19,"")</f>
        <v/>
      </c>
      <c r="U19" s="65"/>
      <c r="V19" t="str">
        <f t="shared" si="2"/>
        <v/>
      </c>
      <c r="W19" s="61" t="s">
        <v>189</v>
      </c>
      <c r="Z19" s="64"/>
      <c r="AA19" t="s">
        <v>2</v>
      </c>
      <c r="AB19" t="str">
        <f>IF(Z19&lt;&gt;"",Z19,"")</f>
        <v/>
      </c>
      <c r="AC19" s="65"/>
    </row>
    <row r="20" customFormat="1" spans="1:29">
      <c r="A20" s="58" t="s">
        <v>189</v>
      </c>
      <c r="B20" s="64"/>
      <c r="C20" t="s">
        <v>117</v>
      </c>
      <c r="D20" s="59"/>
      <c r="E20" s="60"/>
      <c r="F20" t="str">
        <f t="shared" si="7"/>
        <v/>
      </c>
      <c r="G20" s="61" t="str">
        <f t="shared" ref="G20:G22" si="12">""</f>
        <v/>
      </c>
      <c r="L20" t="s">
        <v>117</v>
      </c>
      <c r="M20" s="65"/>
      <c r="N20" t="str">
        <f t="shared" si="0"/>
        <v/>
      </c>
      <c r="O20" s="61" t="str">
        <f t="shared" ref="O20:O22" si="13">""</f>
        <v/>
      </c>
      <c r="T20" t="s">
        <v>117</v>
      </c>
      <c r="U20" s="65"/>
      <c r="V20" t="str">
        <f t="shared" si="2"/>
        <v/>
      </c>
      <c r="W20" s="61" t="str">
        <f t="shared" ref="W20:W22" si="14">""</f>
        <v/>
      </c>
      <c r="AB20" t="s">
        <v>117</v>
      </c>
      <c r="AC20" s="65"/>
    </row>
    <row r="21" customFormat="1" ht="14.55" spans="1:29">
      <c r="A21" s="69" t="str">
        <f>""</f>
        <v/>
      </c>
      <c r="C21" s="49" t="str">
        <f>CONCATENATE("&lt;!-- ",CONCATENATE(B16," ",B17," fin")," --&gt;")</f>
        <v>&lt;!-- Acceder a los datos  fin --&gt;</v>
      </c>
      <c r="D21" s="70"/>
      <c r="E21" s="71"/>
      <c r="F21" t="str">
        <f t="shared" si="7"/>
        <v/>
      </c>
      <c r="G21" s="72" t="str">
        <f t="shared" si="12"/>
        <v/>
      </c>
      <c r="H21" s="49"/>
      <c r="I21" s="49"/>
      <c r="J21" s="49"/>
      <c r="K21" s="49"/>
      <c r="L21" s="49" t="str">
        <f>CONCATENATE("&lt;!-- ",CONCATENATE(J16," ",J17," fin")," --&gt;")</f>
        <v>&lt;!--   fin --&gt;</v>
      </c>
      <c r="M21" s="73"/>
      <c r="N21" t="str">
        <f t="shared" si="0"/>
        <v/>
      </c>
      <c r="O21" s="72" t="str">
        <f t="shared" si="13"/>
        <v/>
      </c>
      <c r="P21" s="49"/>
      <c r="Q21" s="49"/>
      <c r="R21" s="49"/>
      <c r="S21" s="49"/>
      <c r="T21" s="49" t="str">
        <f>CONCATENATE("&lt;!-- ",R16," fin --&gt;")</f>
        <v>&lt;!--  fin --&gt;</v>
      </c>
      <c r="U21" s="73"/>
      <c r="V21" t="str">
        <f t="shared" si="2"/>
        <v/>
      </c>
      <c r="W21" s="72" t="str">
        <f t="shared" si="14"/>
        <v/>
      </c>
      <c r="X21" s="49"/>
      <c r="Y21" s="49"/>
      <c r="Z21" s="49"/>
      <c r="AA21" s="49"/>
      <c r="AB21" s="49" t="str">
        <f>CONCATENATE("&lt;!-- ",Z16," fin --&gt;")</f>
        <v>&lt;!--  fin --&gt;</v>
      </c>
      <c r="AC21" s="73"/>
    </row>
    <row r="22" customFormat="1" ht="14.55" spans="1:29">
      <c r="A22" s="74" t="str">
        <f>""</f>
        <v/>
      </c>
      <c r="B22" s="52"/>
      <c r="C22" s="49" t="str">
        <f>""</f>
        <v/>
      </c>
      <c r="D22" s="49"/>
      <c r="E22" s="49"/>
      <c r="F22" t="str">
        <f t="shared" si="7"/>
        <v/>
      </c>
      <c r="G22" s="61" t="str">
        <f t="shared" si="12"/>
        <v/>
      </c>
      <c r="H22" s="75"/>
      <c r="I22" s="75"/>
      <c r="J22" s="52"/>
      <c r="K22" s="55"/>
      <c r="L22" s="49" t="str">
        <f>""</f>
        <v/>
      </c>
      <c r="N22" t="str">
        <f t="shared" si="0"/>
        <v/>
      </c>
      <c r="O22" s="54" t="str">
        <f t="shared" si="13"/>
        <v/>
      </c>
      <c r="P22" s="55"/>
      <c r="Q22" s="55"/>
      <c r="R22" s="52"/>
      <c r="S22" s="55"/>
      <c r="T22" s="49" t="str">
        <f>""</f>
        <v/>
      </c>
      <c r="V22" t="str">
        <f t="shared" si="2"/>
        <v/>
      </c>
      <c r="W22" s="54" t="str">
        <f t="shared" si="14"/>
        <v/>
      </c>
      <c r="X22" s="55"/>
      <c r="Y22" s="55"/>
      <c r="Z22" s="52"/>
      <c r="AA22" s="55"/>
      <c r="AB22" s="49" t="str">
        <f>""</f>
        <v/>
      </c>
    </row>
    <row r="23" customFormat="1" spans="1:29">
      <c r="A23" s="50" t="str">
        <f>CONCATENATE("Título ",A25)</f>
        <v>Título 4</v>
      </c>
      <c r="B23" s="57" t="s">
        <v>192</v>
      </c>
      <c r="C23" s="51" t="str">
        <f>CONCATENATE("&lt;!-- ",CONCATENATE(B23," ",B24),"--&gt;")</f>
        <v>&lt;!-- Operaciones Comunes --&gt;</v>
      </c>
      <c r="D23" s="52"/>
      <c r="E23" s="53" t="str">
        <f>""</f>
        <v/>
      </c>
      <c r="F23" t="str">
        <f t="shared" ref="F23:F29" si="15">""</f>
        <v/>
      </c>
      <c r="G23" s="54" t="str">
        <f>CONCATENATE("Título ",G25)</f>
        <v>Título 4</v>
      </c>
      <c r="H23" s="55"/>
      <c r="I23" s="55"/>
      <c r="J23" s="57" t="s">
        <v>193</v>
      </c>
      <c r="K23" s="55" t="s">
        <v>2</v>
      </c>
      <c r="L23" s="51" t="str">
        <f>CONCATENATE("&lt;!-- ",CONCATENATE(J23," ",J24)," --&gt;")</f>
        <v>&lt;!-- Filtrado de Datos  --&gt;</v>
      </c>
      <c r="M23" s="56"/>
      <c r="N23" t="str">
        <f t="shared" si="0"/>
        <v/>
      </c>
      <c r="O23" s="54" t="str">
        <f>G23</f>
        <v>Título 4</v>
      </c>
      <c r="P23" s="55"/>
      <c r="Q23" s="55"/>
      <c r="R23" s="57"/>
      <c r="S23" s="55"/>
      <c r="T23" s="55" t="str">
        <f>CONCATENATE("&lt;!-- ",R23," --&gt;")</f>
        <v>&lt;!--  --&gt;</v>
      </c>
      <c r="U23" s="56"/>
      <c r="V23" t="str">
        <f t="shared" si="2"/>
        <v/>
      </c>
      <c r="W23" s="54" t="str">
        <f>O23</f>
        <v>Título 4</v>
      </c>
      <c r="X23" s="55"/>
      <c r="Y23" s="55"/>
      <c r="Z23" s="57" t="s">
        <v>194</v>
      </c>
      <c r="AA23" s="55"/>
      <c r="AB23" s="55" t="str">
        <f>CONCATENATE("&lt;!-- ",Z23," --&gt;")</f>
        <v>&lt;!-- Instalación de la Biblioteca Pandas --&gt;</v>
      </c>
      <c r="AC23" s="56"/>
    </row>
    <row r="24" ht="14.4" spans="1:29">
      <c r="A24" s="58" t="s">
        <v>186</v>
      </c>
      <c r="C24" t="str">
        <f>IF(B25&lt;&gt;"",CONCATENATE("&lt;div id=",Comilla,B26,Comilla,"&gt;"),"")</f>
        <v>&lt;div id="operaciones-comunes"&gt;</v>
      </c>
      <c r="D24" s="59"/>
      <c r="E24" s="60" t="str">
        <f>CONCATENATE(" &lt;a href=",Comilla,"#",B26,Comilla," class=",Comilla,"submenu-item",Comilla,"&gt;",B23,"&lt;/a&gt;")</f>
        <v> &lt;a href="#operaciones-comunes" class="submenu-item"&gt;Operaciones Comunes&lt;/a&gt;</v>
      </c>
      <c r="F24" t="str">
        <f t="shared" si="15"/>
        <v/>
      </c>
      <c r="G24" s="61" t="s">
        <v>186</v>
      </c>
      <c r="H24" s="62" t="s">
        <v>187</v>
      </c>
      <c r="I24" s="63" t="s">
        <v>188</v>
      </c>
      <c r="J24" s="64"/>
      <c r="L24" t="str">
        <f>IF(J23&lt;&gt;"","&lt;div&gt;","")</f>
        <v>&lt;div&gt;</v>
      </c>
      <c r="M24" s="65"/>
      <c r="N24" t="str">
        <f t="shared" si="0"/>
        <v/>
      </c>
      <c r="O24" s="61" t="s">
        <v>186</v>
      </c>
      <c r="P24" s="62" t="s">
        <v>187</v>
      </c>
      <c r="Q24" s="63" t="s">
        <v>188</v>
      </c>
      <c r="T24" t="str">
        <f>CONCATENATE(P24,R24,Q24)</f>
        <v>&lt;div &gt;</v>
      </c>
      <c r="U24" s="65"/>
      <c r="V24" t="str">
        <f t="shared" si="2"/>
        <v/>
      </c>
      <c r="W24" s="61" t="s">
        <v>186</v>
      </c>
      <c r="X24" s="62" t="s">
        <v>187</v>
      </c>
      <c r="Y24" s="63" t="s">
        <v>188</v>
      </c>
      <c r="AB24" t="str">
        <f>CONCATENATE(X24,Z24,Y24)</f>
        <v>&lt;div &gt;</v>
      </c>
      <c r="AC24" s="65"/>
    </row>
    <row r="25" spans="1:29">
      <c r="A25" s="66">
        <f>A18+1</f>
        <v>4</v>
      </c>
      <c r="B25" s="67" t="str">
        <f>IF(B23="","",SUBSTITUTE(SUBSTITUTE(SUBSTITUTE(SUBSTITUTE(SUBSTITUTE(SUBSTITUTE(SUBSTITUTE(SUBSTITUTE(LOWER(CONCATENATE(B23," ",B24))," ","-"),"&lt;",""),"&gt;",""),"ó","o"),"?",""),"¿",""),"é","e"),"á","a"))</f>
        <v>operaciones-comunes-</v>
      </c>
      <c r="C25" s="68" t="str">
        <f>CONCATENATE("&lt;h3&gt;",SUBSTITUTE(CONCATENATE(B23," ",B24),"&lt;","&amp;lt;"),"&lt;/h3&gt;")</f>
        <v>&lt;h3&gt;Operaciones Comunes &lt;/h3&gt;</v>
      </c>
      <c r="D25" s="59"/>
      <c r="E25" s="60"/>
      <c r="F25" t="str">
        <f t="shared" si="15"/>
        <v/>
      </c>
      <c r="G25" s="61">
        <f>G18+1</f>
        <v>4</v>
      </c>
      <c r="J25" s="59"/>
      <c r="K25" s="59"/>
      <c r="L25" s="68" t="str">
        <f>CONCATENATE("&lt;h4&gt;",SUBSTITUTE(CONCATENATE(J23," ",J24),"&lt;","&amp;lt;"),"&lt;/h4&gt;")</f>
        <v>&lt;h4&gt;Filtrado de Datos &lt;/h4&gt;</v>
      </c>
      <c r="M25" s="65"/>
      <c r="N25" t="str">
        <f t="shared" si="0"/>
        <v/>
      </c>
      <c r="O25" s="61">
        <f>O18+1</f>
        <v>4</v>
      </c>
      <c r="T25" t="str">
        <f>CONCATENATE("&lt;h5&gt;",R23,"&lt;/h5&gt;")</f>
        <v>&lt;h5&gt;&lt;/h5&gt;</v>
      </c>
      <c r="U25" s="65"/>
      <c r="V25" t="str">
        <f t="shared" si="2"/>
        <v/>
      </c>
      <c r="W25" s="61">
        <f>W18+1</f>
        <v>4</v>
      </c>
      <c r="AB25" t="str">
        <f>CONCATENATE("&lt;",$Y$1,"&gt;",Z23,"&lt;/",$Y$1,"&gt;")</f>
        <v>&lt;h6&gt;Instalación de la Biblioteca Pandas&lt;/h6&gt;</v>
      </c>
      <c r="AC25" s="65"/>
    </row>
    <row r="26" spans="1:29">
      <c r="A26" s="58" t="str">
        <f t="shared" ref="A26:A29" si="16">""</f>
        <v/>
      </c>
      <c r="B26" s="67" t="str">
        <f>IF(B25&lt;&gt;"",IF(B24="",LEFT(B25,LEN(B25)-1),B25),"")</f>
        <v>operaciones-comunes</v>
      </c>
      <c r="D26" s="59"/>
      <c r="E26" s="60"/>
      <c r="F26" t="str">
        <f t="shared" si="15"/>
        <v/>
      </c>
      <c r="G26" s="61" t="s">
        <v>189</v>
      </c>
      <c r="J26" s="64"/>
      <c r="K26" t="s">
        <v>2</v>
      </c>
      <c r="L26" t="str">
        <f>IF(J26&lt;&gt;"",CONCATENATE("&lt;p&gt;",J26,"&lt;/p&gt;"),"")</f>
        <v/>
      </c>
      <c r="M26" s="65"/>
      <c r="N26" t="str">
        <f t="shared" si="0"/>
        <v/>
      </c>
      <c r="O26" s="61" t="s">
        <v>189</v>
      </c>
      <c r="R26" s="64"/>
      <c r="S26" t="s">
        <v>2</v>
      </c>
      <c r="T26" t="str">
        <f>IF(R26&lt;&gt;"",R26,"")</f>
        <v/>
      </c>
      <c r="U26" s="65"/>
      <c r="V26" t="str">
        <f t="shared" si="2"/>
        <v/>
      </c>
      <c r="W26" s="61" t="s">
        <v>189</v>
      </c>
      <c r="Z26" s="64"/>
      <c r="AA26" t="s">
        <v>2</v>
      </c>
      <c r="AB26" t="str">
        <f>IF(Z26&lt;&gt;"",Z26,"")</f>
        <v/>
      </c>
      <c r="AC26" s="65"/>
    </row>
    <row r="27" spans="1:29">
      <c r="A27" s="58" t="s">
        <v>189</v>
      </c>
      <c r="B27" s="64"/>
      <c r="C27" t="s">
        <v>117</v>
      </c>
      <c r="D27" s="59"/>
      <c r="E27" s="60"/>
      <c r="F27" t="str">
        <f t="shared" si="15"/>
        <v/>
      </c>
      <c r="G27" s="61" t="str">
        <f t="shared" ref="G27:G29" si="17">""</f>
        <v/>
      </c>
      <c r="L27" t="s">
        <v>117</v>
      </c>
      <c r="M27" s="65"/>
      <c r="N27" t="str">
        <f t="shared" si="0"/>
        <v/>
      </c>
      <c r="O27" s="61" t="str">
        <f t="shared" ref="O27:O29" si="18">""</f>
        <v/>
      </c>
      <c r="T27" t="s">
        <v>117</v>
      </c>
      <c r="U27" s="65"/>
      <c r="V27" t="str">
        <f t="shared" si="2"/>
        <v/>
      </c>
      <c r="W27" s="61" t="str">
        <f t="shared" ref="W27:W29" si="19">""</f>
        <v/>
      </c>
      <c r="AB27" t="s">
        <v>117</v>
      </c>
      <c r="AC27" s="65"/>
    </row>
    <row r="28" ht="14.55" spans="1:29">
      <c r="A28" s="69" t="str">
        <f t="shared" si="16"/>
        <v/>
      </c>
      <c r="C28" s="49" t="str">
        <f>CONCATENATE("&lt;!-- ",CONCATENATE(B23," ",B24," fin")," --&gt;")</f>
        <v>&lt;!-- Operaciones Comunes  fin --&gt;</v>
      </c>
      <c r="D28" s="70"/>
      <c r="E28" s="71"/>
      <c r="F28" t="str">
        <f t="shared" si="15"/>
        <v/>
      </c>
      <c r="G28" s="72" t="str">
        <f t="shared" si="17"/>
        <v/>
      </c>
      <c r="H28" s="49"/>
      <c r="I28" s="49"/>
      <c r="J28" s="49"/>
      <c r="K28" s="49"/>
      <c r="L28" s="49" t="str">
        <f>CONCATENATE("&lt;!-- ",CONCATENATE(J23," ",J24," fin")," --&gt;")</f>
        <v>&lt;!-- Filtrado de Datos  fin --&gt;</v>
      </c>
      <c r="M28" s="73"/>
      <c r="N28" t="str">
        <f t="shared" si="0"/>
        <v/>
      </c>
      <c r="O28" s="72" t="str">
        <f t="shared" si="18"/>
        <v/>
      </c>
      <c r="P28" s="49"/>
      <c r="Q28" s="49"/>
      <c r="R28" s="49"/>
      <c r="S28" s="49"/>
      <c r="T28" s="49" t="str">
        <f>CONCATENATE("&lt;!-- ",R23," fin --&gt;")</f>
        <v>&lt;!--  fin --&gt;</v>
      </c>
      <c r="U28" s="73"/>
      <c r="V28" t="str">
        <f t="shared" si="2"/>
        <v/>
      </c>
      <c r="W28" s="72" t="str">
        <f t="shared" si="19"/>
        <v/>
      </c>
      <c r="X28" s="49"/>
      <c r="Y28" s="49"/>
      <c r="Z28" s="49"/>
      <c r="AA28" s="49"/>
      <c r="AB28" s="49" t="str">
        <f>CONCATENATE("&lt;!-- ",Z23," fin --&gt;")</f>
        <v>&lt;!-- Instalación de la Biblioteca Pandas fin --&gt;</v>
      </c>
      <c r="AC28" s="73"/>
    </row>
    <row r="29" ht="14.55" spans="1:29">
      <c r="A29" s="74" t="str">
        <f t="shared" si="16"/>
        <v/>
      </c>
      <c r="B29" s="52"/>
      <c r="C29" s="49" t="str">
        <f>""</f>
        <v/>
      </c>
      <c r="D29" s="49"/>
      <c r="E29" s="49"/>
      <c r="F29" t="str">
        <f t="shared" si="15"/>
        <v/>
      </c>
      <c r="G29" s="61" t="str">
        <f t="shared" si="17"/>
        <v/>
      </c>
      <c r="H29" s="75"/>
      <c r="I29" s="75"/>
      <c r="J29" s="52"/>
      <c r="K29" s="55"/>
      <c r="L29" s="49" t="str">
        <f>""</f>
        <v/>
      </c>
      <c r="N29" t="str">
        <f t="shared" si="0"/>
        <v/>
      </c>
      <c r="O29" s="54" t="str">
        <f t="shared" si="18"/>
        <v/>
      </c>
      <c r="P29" s="55"/>
      <c r="Q29" s="55"/>
      <c r="R29" s="52"/>
      <c r="S29" s="55"/>
      <c r="T29" s="49" t="str">
        <f>""</f>
        <v/>
      </c>
      <c r="V29" t="str">
        <f t="shared" si="2"/>
        <v/>
      </c>
      <c r="W29" s="54" t="str">
        <f t="shared" si="19"/>
        <v/>
      </c>
      <c r="X29" s="55"/>
      <c r="Y29" s="55"/>
      <c r="Z29" s="52"/>
      <c r="AA29" s="55"/>
      <c r="AB29" s="49" t="str">
        <f>""</f>
        <v/>
      </c>
    </row>
    <row r="30" spans="1:29">
      <c r="A30" s="50" t="str">
        <f>CONCATENATE("Título ",A32)</f>
        <v>Título 5</v>
      </c>
      <c r="B30" s="57" t="s">
        <v>195</v>
      </c>
      <c r="C30" s="51" t="str">
        <f>CONCATENATE("&lt;!-- ",CONCATENATE(B30," ",B31)," --&gt;")</f>
        <v>&lt;!-- Importación de Datos con Python  --&gt;</v>
      </c>
      <c r="D30" s="52"/>
      <c r="E30" s="53" t="str">
        <f>""</f>
        <v/>
      </c>
      <c r="F30" t="str">
        <f t="shared" ref="F30:F36" si="20">""</f>
        <v/>
      </c>
      <c r="G30" s="54" t="str">
        <f>CONCATENATE("Título ",G32)</f>
        <v>Título 5</v>
      </c>
      <c r="H30" s="55"/>
      <c r="I30" s="55"/>
      <c r="J30" s="57" t="s">
        <v>196</v>
      </c>
      <c r="K30" s="55" t="s">
        <v>2</v>
      </c>
      <c r="L30" s="51" t="str">
        <f>CONCATENATE("&lt;!-- ",CONCATENATE(J30," ",J31)," --&gt;")</f>
        <v>&lt;!-- Filtrado Descriptivo  --&gt;</v>
      </c>
      <c r="M30" s="56"/>
      <c r="N30" t="str">
        <f t="shared" si="0"/>
        <v/>
      </c>
      <c r="O30" s="54" t="str">
        <f>G30</f>
        <v>Título 5</v>
      </c>
      <c r="P30" s="55"/>
      <c r="Q30" s="55"/>
      <c r="R30" s="57"/>
      <c r="S30" s="55"/>
      <c r="T30" s="55" t="str">
        <f>CONCATENATE("&lt;!-- ",R30," --&gt;")</f>
        <v>&lt;!--  --&gt;</v>
      </c>
      <c r="U30" s="56"/>
      <c r="V30" t="str">
        <f t="shared" si="2"/>
        <v/>
      </c>
      <c r="W30" s="54" t="str">
        <f>O30</f>
        <v>Título 5</v>
      </c>
      <c r="X30" s="55"/>
      <c r="Y30" s="55"/>
      <c r="Z30" s="57"/>
      <c r="AA30" s="55"/>
      <c r="AB30" s="55" t="str">
        <f>CONCATENATE("&lt;!-- ",Z30," --&gt;")</f>
        <v>&lt;!--  --&gt;</v>
      </c>
      <c r="AC30" s="56"/>
    </row>
    <row r="31" ht="14.4" spans="1:29">
      <c r="A31" s="58" t="s">
        <v>186</v>
      </c>
      <c r="C31" t="str">
        <f>IF(B32&lt;&gt;"",CONCATENATE("&lt;div id=",Comilla,B33,Comilla,"&gt;"),"")</f>
        <v>&lt;div id="importacion-de-datos-con-python"&gt;</v>
      </c>
      <c r="D31" s="59"/>
      <c r="E31" s="60" t="str">
        <f>CONCATENATE(" &lt;a href=",Comilla,"#",B33,Comilla," class=",Comilla,"submenu-item",Comilla,"&gt;",B30,"&lt;/a&gt;")</f>
        <v> &lt;a href="#importacion-de-datos-con-python" class="submenu-item"&gt;Importación de Datos con Python&lt;/a&gt;</v>
      </c>
      <c r="F31" t="str">
        <f t="shared" si="20"/>
        <v/>
      </c>
      <c r="G31" s="61" t="s">
        <v>186</v>
      </c>
      <c r="H31" s="62" t="s">
        <v>187</v>
      </c>
      <c r="I31" s="63" t="s">
        <v>188</v>
      </c>
      <c r="J31" s="64"/>
      <c r="L31" t="str">
        <f>IF(J30&lt;&gt;"","&lt;div&gt;","")</f>
        <v>&lt;div&gt;</v>
      </c>
      <c r="M31" s="65"/>
      <c r="N31" t="str">
        <f t="shared" si="0"/>
        <v/>
      </c>
      <c r="O31" s="61" t="s">
        <v>186</v>
      </c>
      <c r="P31" s="62" t="s">
        <v>187</v>
      </c>
      <c r="Q31" s="63" t="s">
        <v>188</v>
      </c>
      <c r="T31" t="str">
        <f>CONCATENATE(P31,R31,Q31)</f>
        <v>&lt;div &gt;</v>
      </c>
      <c r="U31" s="65"/>
      <c r="V31" t="str">
        <f t="shared" si="2"/>
        <v/>
      </c>
      <c r="W31" s="61" t="s">
        <v>186</v>
      </c>
      <c r="X31" s="62" t="s">
        <v>187</v>
      </c>
      <c r="Y31" s="63" t="s">
        <v>188</v>
      </c>
      <c r="AB31" t="str">
        <f>CONCATENATE(X31,Z31,Y31)</f>
        <v>&lt;div &gt;</v>
      </c>
      <c r="AC31" s="65"/>
    </row>
    <row r="32" spans="1:29">
      <c r="A32" s="66">
        <f>A25+1</f>
        <v>5</v>
      </c>
      <c r="B32" s="67" t="str">
        <f>IF(B30="","",SUBSTITUTE(SUBSTITUTE(SUBSTITUTE(SUBSTITUTE(SUBSTITUTE(SUBSTITUTE(SUBSTITUTE(SUBSTITUTE(LOWER(CONCATENATE(B30," ",B31))," ","-"),"&lt;",""),"&gt;",""),"ó","o"),"?",""),"¿",""),"é","e"),"á","a"))</f>
        <v>importacion-de-datos-con-python-</v>
      </c>
      <c r="C32" s="68" t="str">
        <f>CONCATENATE("&lt;h3&gt;",SUBSTITUTE(CONCATENATE(B30," ",B31),"&lt;","&amp;lt;"),"&lt;/h3&gt;")</f>
        <v>&lt;h3&gt;Importación de Datos con Python &lt;/h3&gt;</v>
      </c>
      <c r="D32" s="59"/>
      <c r="E32" s="60"/>
      <c r="F32" t="str">
        <f t="shared" si="20"/>
        <v/>
      </c>
      <c r="G32" s="61">
        <f>G25+1</f>
        <v>5</v>
      </c>
      <c r="J32" s="59"/>
      <c r="K32" s="59"/>
      <c r="L32" s="68" t="str">
        <f>CONCATENATE("&lt;h4&gt;",SUBSTITUTE(CONCATENATE(J30," ",J31),"&lt;","&amp;lt;"),"&lt;/h4&gt;")</f>
        <v>&lt;h4&gt;Filtrado Descriptivo &lt;/h4&gt;</v>
      </c>
      <c r="M32" s="65"/>
      <c r="N32" t="str">
        <f t="shared" si="0"/>
        <v/>
      </c>
      <c r="O32" s="61">
        <f>O25+1</f>
        <v>5</v>
      </c>
      <c r="T32" t="str">
        <f>CONCATENATE("&lt;h5&gt;",R30,"&lt;/h5&gt;")</f>
        <v>&lt;h5&gt;&lt;/h5&gt;</v>
      </c>
      <c r="U32" s="65"/>
      <c r="V32" t="str">
        <f t="shared" si="2"/>
        <v/>
      </c>
      <c r="W32" s="61">
        <f>W25+1</f>
        <v>5</v>
      </c>
      <c r="AB32" t="str">
        <f>CONCATENATE("&lt;",$Y$1,"&gt;",Z30,"&lt;/",$Y$1,"&gt;")</f>
        <v>&lt;h6&gt;&lt;/h6&gt;</v>
      </c>
      <c r="AC32" s="65"/>
    </row>
    <row r="33" spans="1:29">
      <c r="A33" s="58" t="str">
        <f t="shared" ref="A33:A36" si="21">""</f>
        <v/>
      </c>
      <c r="B33" s="67" t="str">
        <f>IF(B32&lt;&gt;"",IF(B31="",LEFT(B32,LEN(B32)-1),B32),"")</f>
        <v>importacion-de-datos-con-python</v>
      </c>
      <c r="D33" s="59"/>
      <c r="E33" s="60"/>
      <c r="F33" t="str">
        <f t="shared" si="20"/>
        <v/>
      </c>
      <c r="G33" s="61" t="s">
        <v>189</v>
      </c>
      <c r="J33" s="64"/>
      <c r="K33" t="s">
        <v>2</v>
      </c>
      <c r="L33" t="str">
        <f>IF(J33&lt;&gt;"",CONCATENATE("&lt;p&gt;",J33,"&lt;/p&gt;"),"")</f>
        <v/>
      </c>
      <c r="M33" s="65"/>
      <c r="N33" t="str">
        <f t="shared" si="0"/>
        <v/>
      </c>
      <c r="O33" s="61" t="s">
        <v>189</v>
      </c>
      <c r="R33" s="64"/>
      <c r="S33" t="s">
        <v>2</v>
      </c>
      <c r="T33" t="str">
        <f>IF(R33&lt;&gt;"",R33,"")</f>
        <v/>
      </c>
      <c r="U33" s="65"/>
      <c r="V33" t="str">
        <f t="shared" si="2"/>
        <v/>
      </c>
      <c r="W33" s="61" t="s">
        <v>189</v>
      </c>
      <c r="Z33" s="64"/>
      <c r="AA33" t="s">
        <v>2</v>
      </c>
      <c r="AB33" t="str">
        <f>IF(Z33&lt;&gt;"",Z33,"")</f>
        <v/>
      </c>
      <c r="AC33" s="65"/>
    </row>
    <row r="34" spans="1:29">
      <c r="A34" s="58" t="s">
        <v>189</v>
      </c>
      <c r="B34" s="64"/>
      <c r="C34" t="s">
        <v>117</v>
      </c>
      <c r="D34" s="59"/>
      <c r="E34" s="60"/>
      <c r="F34" t="str">
        <f t="shared" si="20"/>
        <v/>
      </c>
      <c r="G34" s="61" t="str">
        <f t="shared" ref="G34:G36" si="22">""</f>
        <v/>
      </c>
      <c r="L34" t="s">
        <v>117</v>
      </c>
      <c r="M34" s="65"/>
      <c r="N34" t="str">
        <f t="shared" si="0"/>
        <v/>
      </c>
      <c r="O34" s="61" t="str">
        <f t="shared" ref="O34:O36" si="23">""</f>
        <v/>
      </c>
      <c r="T34" t="s">
        <v>117</v>
      </c>
      <c r="U34" s="65"/>
      <c r="V34" t="str">
        <f t="shared" si="2"/>
        <v/>
      </c>
      <c r="W34" s="61" t="str">
        <f t="shared" ref="W34:W36" si="24">""</f>
        <v/>
      </c>
      <c r="AB34" t="s">
        <v>117</v>
      </c>
      <c r="AC34" s="65"/>
    </row>
    <row r="35" ht="14.55" spans="1:29">
      <c r="A35" s="69" t="str">
        <f t="shared" si="21"/>
        <v/>
      </c>
      <c r="C35" s="49" t="str">
        <f>CONCATENATE("&lt;!-- ",CONCATENATE(B30," ",B31," fin")," --&gt;")</f>
        <v>&lt;!-- Importación de Datos con Python  fin --&gt;</v>
      </c>
      <c r="D35" s="70"/>
      <c r="E35" s="71"/>
      <c r="F35" t="str">
        <f t="shared" si="20"/>
        <v/>
      </c>
      <c r="G35" s="72" t="str">
        <f t="shared" si="22"/>
        <v/>
      </c>
      <c r="H35" s="49"/>
      <c r="I35" s="49"/>
      <c r="J35" s="49"/>
      <c r="K35" s="49"/>
      <c r="L35" s="49" t="str">
        <f>CONCATENATE("&lt;!-- ",CONCATENATE(J30," ",J31," fin")," --&gt;")</f>
        <v>&lt;!-- Filtrado Descriptivo  fin --&gt;</v>
      </c>
      <c r="M35" s="73"/>
      <c r="N35" t="str">
        <f t="shared" si="0"/>
        <v/>
      </c>
      <c r="O35" s="72" t="str">
        <f t="shared" si="23"/>
        <v/>
      </c>
      <c r="P35" s="49"/>
      <c r="Q35" s="49"/>
      <c r="R35" s="49"/>
      <c r="S35" s="49"/>
      <c r="T35" s="49" t="str">
        <f>CONCATENATE("&lt;!-- ",R30," fin --&gt;")</f>
        <v>&lt;!--  fin --&gt;</v>
      </c>
      <c r="U35" s="73"/>
      <c r="V35" t="str">
        <f t="shared" si="2"/>
        <v/>
      </c>
      <c r="W35" s="72" t="str">
        <f t="shared" si="24"/>
        <v/>
      </c>
      <c r="X35" s="49"/>
      <c r="Y35" s="49"/>
      <c r="Z35" s="49"/>
      <c r="AA35" s="49"/>
      <c r="AB35" s="49" t="str">
        <f>CONCATENATE("&lt;!-- ",Z30," fin --&gt;")</f>
        <v>&lt;!--  fin --&gt;</v>
      </c>
      <c r="AC35" s="73"/>
    </row>
    <row r="36" ht="14.55" spans="1:29">
      <c r="A36" s="74" t="str">
        <f t="shared" si="21"/>
        <v/>
      </c>
      <c r="B36" s="52"/>
      <c r="C36" s="49" t="str">
        <f>""</f>
        <v/>
      </c>
      <c r="D36" s="49"/>
      <c r="E36" s="49"/>
      <c r="F36" t="str">
        <f t="shared" si="20"/>
        <v/>
      </c>
      <c r="G36" s="61" t="str">
        <f t="shared" si="22"/>
        <v/>
      </c>
      <c r="H36" s="75"/>
      <c r="I36" s="75"/>
      <c r="J36" s="52"/>
      <c r="K36" s="55"/>
      <c r="L36" s="49" t="str">
        <f>""</f>
        <v/>
      </c>
      <c r="N36" t="str">
        <f t="shared" si="0"/>
        <v/>
      </c>
      <c r="O36" s="54" t="str">
        <f t="shared" si="23"/>
        <v/>
      </c>
      <c r="P36" s="55"/>
      <c r="Q36" s="55"/>
      <c r="R36" s="52"/>
      <c r="S36" s="55"/>
      <c r="T36" s="49" t="str">
        <f>""</f>
        <v/>
      </c>
      <c r="V36" t="str">
        <f t="shared" si="2"/>
        <v/>
      </c>
      <c r="W36" s="54" t="str">
        <f t="shared" si="24"/>
        <v/>
      </c>
      <c r="X36" s="55"/>
      <c r="Y36" s="55"/>
      <c r="Z36" s="52"/>
      <c r="AA36" s="55"/>
      <c r="AB36" s="49" t="str">
        <f>""</f>
        <v/>
      </c>
    </row>
    <row r="37" spans="1:29">
      <c r="A37" s="50" t="str">
        <f>CONCATENATE("Título ",A39)</f>
        <v>Título 6</v>
      </c>
      <c r="B37" s="57" t="s">
        <v>197</v>
      </c>
      <c r="C37" s="51" t="str">
        <f>CONCATENATE("&lt;!-- ",CONCATENATE(B37," ",B38)," --&gt;")</f>
        <v>&lt;!-- Exportación de Datos con Python  --&gt;</v>
      </c>
      <c r="D37" s="52"/>
      <c r="E37" s="53" t="str">
        <f>""</f>
        <v/>
      </c>
      <c r="F37" t="str">
        <f t="shared" ref="F37:F43" si="25">""</f>
        <v/>
      </c>
      <c r="G37" s="54" t="str">
        <f>CONCATENATE("Título ",G39)</f>
        <v>Título 6</v>
      </c>
      <c r="H37" s="55"/>
      <c r="I37" s="55"/>
      <c r="J37" s="57" t="s">
        <v>198</v>
      </c>
      <c r="K37" s="55" t="s">
        <v>2</v>
      </c>
      <c r="L37" s="51" t="str">
        <f>CONCATENATE("&lt;!-- ",CONCATENATE(J37," ",J38)," --&gt;")</f>
        <v>&lt;!-- Archivos CSV  --&gt;</v>
      </c>
      <c r="M37" s="56"/>
      <c r="N37" t="str">
        <f t="shared" si="0"/>
        <v/>
      </c>
      <c r="O37" s="54" t="str">
        <f>G37</f>
        <v>Título 6</v>
      </c>
      <c r="P37" s="55"/>
      <c r="Q37" s="55"/>
      <c r="R37" s="57" t="s">
        <v>199</v>
      </c>
      <c r="S37" s="55"/>
      <c r="T37" s="55" t="str">
        <f>CONCATENATE("&lt;!-- ",R37," --&gt;")</f>
        <v>&lt;!-- Estructura Básica --&gt;</v>
      </c>
      <c r="U37" s="56"/>
      <c r="V37" t="str">
        <f t="shared" si="2"/>
        <v/>
      </c>
      <c r="W37" s="54" t="str">
        <f>O37</f>
        <v>Título 6</v>
      </c>
      <c r="X37" s="55"/>
      <c r="Y37" s="55"/>
      <c r="Z37" s="57"/>
      <c r="AA37" s="55"/>
      <c r="AB37" s="55" t="str">
        <f>CONCATENATE("&lt;!-- ",Z37," --&gt;")</f>
        <v>&lt;!--  --&gt;</v>
      </c>
      <c r="AC37" s="56"/>
    </row>
    <row r="38" ht="14.4" spans="1:29">
      <c r="A38" s="58" t="s">
        <v>186</v>
      </c>
      <c r="C38" t="str">
        <f>IF(B39&lt;&gt;"",CONCATENATE("&lt;div id=",Comilla,B40,Comilla,"&gt;"),"")</f>
        <v>&lt;div id="exportacion-de-datos-con-python"&gt;</v>
      </c>
      <c r="D38" s="59"/>
      <c r="E38" s="60" t="str">
        <f>CONCATENATE(" &lt;a href=",Comilla,"#",B40,Comilla," class=",Comilla,"submenu-item",Comilla,"&gt;",B37,"&lt;/a&gt;")</f>
        <v> &lt;a href="#exportacion-de-datos-con-python" class="submenu-item"&gt;Exportación de Datos con Python&lt;/a&gt;</v>
      </c>
      <c r="F38" t="str">
        <f t="shared" si="25"/>
        <v/>
      </c>
      <c r="G38" s="61" t="s">
        <v>186</v>
      </c>
      <c r="H38" s="62" t="s">
        <v>187</v>
      </c>
      <c r="I38" s="63" t="s">
        <v>188</v>
      </c>
      <c r="J38" s="64"/>
      <c r="L38" t="str">
        <f>IF(J37&lt;&gt;"","&lt;div&gt;","")</f>
        <v>&lt;div&gt;</v>
      </c>
      <c r="M38" s="65"/>
      <c r="N38" t="str">
        <f t="shared" si="0"/>
        <v/>
      </c>
      <c r="O38" s="61" t="s">
        <v>186</v>
      </c>
      <c r="P38" s="62" t="s">
        <v>187</v>
      </c>
      <c r="Q38" s="63" t="s">
        <v>188</v>
      </c>
      <c r="T38" t="str">
        <f>CONCATENATE(P38,R38,Q38)</f>
        <v>&lt;div &gt;</v>
      </c>
      <c r="U38" s="65"/>
      <c r="V38" t="str">
        <f t="shared" si="2"/>
        <v/>
      </c>
      <c r="W38" s="61" t="s">
        <v>186</v>
      </c>
      <c r="X38" s="62" t="s">
        <v>187</v>
      </c>
      <c r="Y38" s="63" t="s">
        <v>188</v>
      </c>
      <c r="AB38" t="str">
        <f>CONCATENATE(X38,Z38,Y38)</f>
        <v>&lt;div &gt;</v>
      </c>
      <c r="AC38" s="65"/>
    </row>
    <row r="39" spans="1:29">
      <c r="A39" s="66">
        <f>A32+1</f>
        <v>6</v>
      </c>
      <c r="B39" s="67" t="str">
        <f>IF(B37="","",SUBSTITUTE(SUBSTITUTE(SUBSTITUTE(SUBSTITUTE(SUBSTITUTE(SUBSTITUTE(SUBSTITUTE(SUBSTITUTE(LOWER(CONCATENATE(B37," ",B38))," ","-"),"&lt;",""),"&gt;",""),"ó","o"),"?",""),"¿",""),"é","e"),"á","a"))</f>
        <v>exportacion-de-datos-con-python-</v>
      </c>
      <c r="C39" s="68" t="str">
        <f>CONCATENATE("&lt;h3&gt;",SUBSTITUTE(CONCATENATE(B37," ",B38),"&lt;","&amp;lt;"),"&lt;/h3&gt;")</f>
        <v>&lt;h3&gt;Exportación de Datos con Python &lt;/h3&gt;</v>
      </c>
      <c r="D39" s="59"/>
      <c r="E39" s="60"/>
      <c r="F39" t="str">
        <f t="shared" si="25"/>
        <v/>
      </c>
      <c r="G39" s="61">
        <f>G32+1</f>
        <v>6</v>
      </c>
      <c r="J39" s="59"/>
      <c r="K39" s="59"/>
      <c r="L39" s="68" t="str">
        <f>CONCATENATE("&lt;h4&gt;",SUBSTITUTE(CONCATENATE(J37," ",J38),"&lt;","&amp;lt;"),"&lt;/h4&gt;")</f>
        <v>&lt;h4&gt;Archivos CSV &lt;/h4&gt;</v>
      </c>
      <c r="M39" s="65"/>
      <c r="N39" t="str">
        <f t="shared" si="0"/>
        <v/>
      </c>
      <c r="O39" s="61">
        <f>O32+1</f>
        <v>6</v>
      </c>
      <c r="T39" t="str">
        <f>CONCATENATE("&lt;h5&gt;",R37,"&lt;/h5&gt;")</f>
        <v>&lt;h5&gt;Estructura Básica&lt;/h5&gt;</v>
      </c>
      <c r="U39" s="65"/>
      <c r="V39" t="str">
        <f t="shared" si="2"/>
        <v/>
      </c>
      <c r="W39" s="61">
        <f>W32+1</f>
        <v>6</v>
      </c>
      <c r="AB39" t="str">
        <f>CONCATENATE("&lt;",$Y$1,"&gt;",Z37,"&lt;/",$Y$1,"&gt;")</f>
        <v>&lt;h6&gt;&lt;/h6&gt;</v>
      </c>
      <c r="AC39" s="65"/>
    </row>
    <row r="40" spans="1:29">
      <c r="A40" s="58" t="str">
        <f t="shared" ref="A40:A43" si="26">""</f>
        <v/>
      </c>
      <c r="B40" s="67" t="str">
        <f>IF(B39&lt;&gt;"",IF(B38="",LEFT(B39,LEN(B39)-1),B39),"")</f>
        <v>exportacion-de-datos-con-python</v>
      </c>
      <c r="D40" s="59"/>
      <c r="E40" s="60"/>
      <c r="F40" t="str">
        <f t="shared" si="25"/>
        <v/>
      </c>
      <c r="G40" s="61" t="s">
        <v>189</v>
      </c>
      <c r="J40" s="64"/>
      <c r="K40" t="s">
        <v>2</v>
      </c>
      <c r="L40" t="str">
        <f>IF(J40&lt;&gt;"",CONCATENATE("&lt;p&gt;",J40,"&lt;/p&gt;"),"")</f>
        <v/>
      </c>
      <c r="M40" s="65"/>
      <c r="N40" t="str">
        <f t="shared" si="0"/>
        <v/>
      </c>
      <c r="O40" s="61" t="s">
        <v>189</v>
      </c>
      <c r="R40" s="64"/>
      <c r="S40" t="s">
        <v>2</v>
      </c>
      <c r="T40" t="str">
        <f>IF(R40&lt;&gt;"",R40,"")</f>
        <v/>
      </c>
      <c r="U40" s="65"/>
      <c r="V40" t="str">
        <f t="shared" si="2"/>
        <v/>
      </c>
      <c r="W40" s="61" t="s">
        <v>189</v>
      </c>
      <c r="Z40" s="64"/>
      <c r="AA40" t="s">
        <v>2</v>
      </c>
      <c r="AB40" t="str">
        <f>IF(Z40&lt;&gt;"",Z40,"")</f>
        <v/>
      </c>
      <c r="AC40" s="65"/>
    </row>
    <row r="41" spans="1:29">
      <c r="A41" s="58" t="s">
        <v>189</v>
      </c>
      <c r="B41" s="64"/>
      <c r="C41" t="s">
        <v>117</v>
      </c>
      <c r="D41" s="59"/>
      <c r="E41" s="60"/>
      <c r="F41" t="str">
        <f t="shared" si="25"/>
        <v/>
      </c>
      <c r="G41" s="61" t="str">
        <f t="shared" ref="G41:G43" si="27">""</f>
        <v/>
      </c>
      <c r="L41" t="s">
        <v>117</v>
      </c>
      <c r="M41" s="65"/>
      <c r="N41" t="str">
        <f t="shared" si="0"/>
        <v/>
      </c>
      <c r="O41" s="61" t="str">
        <f t="shared" ref="O41:O43" si="28">""</f>
        <v/>
      </c>
      <c r="T41" t="s">
        <v>117</v>
      </c>
      <c r="U41" s="65"/>
      <c r="V41" t="str">
        <f t="shared" si="2"/>
        <v/>
      </c>
      <c r="W41" s="61" t="str">
        <f t="shared" ref="W41:W43" si="29">""</f>
        <v/>
      </c>
      <c r="AB41" t="s">
        <v>117</v>
      </c>
      <c r="AC41" s="65"/>
    </row>
    <row r="42" ht="14.55" spans="1:29">
      <c r="A42" s="69" t="str">
        <f t="shared" si="26"/>
        <v/>
      </c>
      <c r="C42" s="49" t="str">
        <f>CONCATENATE("&lt;!-- ",CONCATENATE(B37," ",B38," fin")," --&gt;")</f>
        <v>&lt;!-- Exportación de Datos con Python  fin --&gt;</v>
      </c>
      <c r="D42" s="70"/>
      <c r="E42" s="71"/>
      <c r="F42" t="str">
        <f t="shared" si="25"/>
        <v/>
      </c>
      <c r="G42" s="72" t="str">
        <f t="shared" si="27"/>
        <v/>
      </c>
      <c r="H42" s="49"/>
      <c r="I42" s="49"/>
      <c r="J42" s="49"/>
      <c r="K42" s="49"/>
      <c r="L42" s="49" t="str">
        <f>CONCATENATE("&lt;!-- ",CONCATENATE(J37," ",J38," fin")," --&gt;")</f>
        <v>&lt;!-- Archivos CSV  fin --&gt;</v>
      </c>
      <c r="M42" s="73"/>
      <c r="N42" t="str">
        <f t="shared" si="0"/>
        <v/>
      </c>
      <c r="O42" s="72" t="str">
        <f t="shared" si="28"/>
        <v/>
      </c>
      <c r="P42" s="49"/>
      <c r="Q42" s="49"/>
      <c r="R42" s="49"/>
      <c r="S42" s="49"/>
      <c r="T42" s="49" t="str">
        <f>CONCATENATE("&lt;!-- ",R37," fin --&gt;")</f>
        <v>&lt;!-- Estructura Básica fin --&gt;</v>
      </c>
      <c r="U42" s="73"/>
      <c r="V42" t="str">
        <f t="shared" si="2"/>
        <v/>
      </c>
      <c r="W42" s="72" t="str">
        <f t="shared" si="29"/>
        <v/>
      </c>
      <c r="X42" s="49"/>
      <c r="Y42" s="49"/>
      <c r="Z42" s="49"/>
      <c r="AA42" s="49"/>
      <c r="AB42" s="49" t="str">
        <f>CONCATENATE("&lt;!-- ",Z37," fin --&gt;")</f>
        <v>&lt;!--  fin --&gt;</v>
      </c>
      <c r="AC42" s="73"/>
    </row>
    <row r="43" ht="14.55" spans="1:29">
      <c r="A43" s="74" t="str">
        <f t="shared" si="26"/>
        <v/>
      </c>
      <c r="B43" s="52"/>
      <c r="C43" s="49" t="str">
        <f>""</f>
        <v/>
      </c>
      <c r="D43" s="49"/>
      <c r="E43" s="49"/>
      <c r="F43" t="str">
        <f t="shared" si="25"/>
        <v/>
      </c>
      <c r="G43" s="61" t="str">
        <f t="shared" si="27"/>
        <v/>
      </c>
      <c r="H43" s="75"/>
      <c r="I43" s="75"/>
      <c r="J43" s="52"/>
      <c r="K43" s="55"/>
      <c r="L43" s="49" t="str">
        <f>""</f>
        <v/>
      </c>
      <c r="N43" t="str">
        <f t="shared" si="0"/>
        <v/>
      </c>
      <c r="O43" s="54" t="str">
        <f t="shared" si="28"/>
        <v/>
      </c>
      <c r="P43" s="55"/>
      <c r="Q43" s="55"/>
      <c r="R43" s="52"/>
      <c r="S43" s="55"/>
      <c r="T43" s="49" t="str">
        <f>""</f>
        <v/>
      </c>
      <c r="V43" t="str">
        <f t="shared" si="2"/>
        <v/>
      </c>
      <c r="W43" s="54" t="str">
        <f t="shared" si="29"/>
        <v/>
      </c>
      <c r="X43" s="55"/>
      <c r="Y43" s="55"/>
      <c r="Z43" s="52"/>
      <c r="AA43" s="55"/>
      <c r="AB43" s="49" t="str">
        <f>""</f>
        <v/>
      </c>
    </row>
    <row r="44" spans="1:29">
      <c r="A44" s="50" t="str">
        <f>CONCATENATE("Título ",A46)</f>
        <v>Título 7</v>
      </c>
      <c r="B44" s="57" t="s">
        <v>200</v>
      </c>
      <c r="C44" s="51" t="str">
        <f>CONCATENATE("&lt;!-- ",CONCATENATE(B44," ",B45)," --&gt;")</f>
        <v>&lt;!-- Importación de Archivos CSV  --&gt;</v>
      </c>
      <c r="D44" s="52"/>
      <c r="E44" s="53" t="str">
        <f>""</f>
        <v/>
      </c>
      <c r="F44" t="str">
        <f t="shared" ref="F44:F50" si="30">""</f>
        <v/>
      </c>
      <c r="G44" s="54" t="str">
        <f>CONCATENATE("Título ",G46)</f>
        <v>Título 7</v>
      </c>
      <c r="H44" s="55"/>
      <c r="I44" s="55"/>
      <c r="J44" s="57" t="s">
        <v>201</v>
      </c>
      <c r="K44" s="55" t="s">
        <v>2</v>
      </c>
      <c r="L44" s="51" t="str">
        <f>CONCATENATE("&lt;!-- ",CONCATENATE(J44," ",J45)," --&gt;")</f>
        <v>&lt;!-- Archivos Excel  --&gt;</v>
      </c>
      <c r="M44" s="56"/>
      <c r="N44" t="str">
        <f t="shared" si="0"/>
        <v/>
      </c>
      <c r="O44" s="54" t="str">
        <f>G44</f>
        <v>Título 7</v>
      </c>
      <c r="P44" s="55"/>
      <c r="Q44" s="55"/>
      <c r="R44" s="57" t="s">
        <v>202</v>
      </c>
      <c r="S44" s="55"/>
      <c r="T44" s="55" t="str">
        <f>CONCATENATE("&lt;!-- ",R44," --&gt;")</f>
        <v>&lt;!-- Características Principales --&gt;</v>
      </c>
      <c r="U44" s="56"/>
      <c r="V44" t="str">
        <f t="shared" si="2"/>
        <v/>
      </c>
      <c r="W44" s="54" t="str">
        <f>O44</f>
        <v>Título 7</v>
      </c>
      <c r="X44" s="55"/>
      <c r="Y44" s="55"/>
      <c r="Z44" s="57"/>
      <c r="AA44" s="55"/>
      <c r="AB44" s="55" t="str">
        <f>CONCATENATE("&lt;!-- ",Z44," --&gt;")</f>
        <v>&lt;!--  --&gt;</v>
      </c>
      <c r="AC44" s="56"/>
    </row>
    <row r="45" ht="14.4" spans="1:29">
      <c r="A45" s="58" t="s">
        <v>186</v>
      </c>
      <c r="C45" t="str">
        <f>IF(B46&lt;&gt;"",CONCATENATE("&lt;div id=",Comilla,B47,Comilla,"&gt;"),"")</f>
        <v>&lt;div id="importacion-de-archivos-csv"&gt;</v>
      </c>
      <c r="D45" s="59"/>
      <c r="E45" s="60" t="str">
        <f>CONCATENATE(" &lt;a href=",Comilla,"#",B47,Comilla," class=",Comilla,"submenu-item",Comilla,"&gt;",B44,"&lt;/a&gt;")</f>
        <v> &lt;a href="#importacion-de-archivos-csv" class="submenu-item"&gt;Importación de Archivos CSV&lt;/a&gt;</v>
      </c>
      <c r="F45" t="str">
        <f t="shared" si="30"/>
        <v/>
      </c>
      <c r="G45" s="61" t="s">
        <v>186</v>
      </c>
      <c r="H45" s="62" t="s">
        <v>187</v>
      </c>
      <c r="I45" s="63" t="s">
        <v>188</v>
      </c>
      <c r="J45" s="64"/>
      <c r="L45" t="str">
        <f>IF(J44&lt;&gt;"","&lt;div&gt;","")</f>
        <v>&lt;div&gt;</v>
      </c>
      <c r="M45" s="65"/>
      <c r="N45" t="str">
        <f t="shared" si="0"/>
        <v/>
      </c>
      <c r="O45" s="61" t="s">
        <v>186</v>
      </c>
      <c r="P45" s="62" t="s">
        <v>187</v>
      </c>
      <c r="Q45" s="63" t="s">
        <v>188</v>
      </c>
      <c r="T45" t="str">
        <f>CONCATENATE(P45,R45,Q45)</f>
        <v>&lt;div &gt;</v>
      </c>
      <c r="U45" s="65"/>
      <c r="V45" t="str">
        <f t="shared" si="2"/>
        <v/>
      </c>
      <c r="W45" s="61" t="s">
        <v>186</v>
      </c>
      <c r="X45" s="62" t="s">
        <v>187</v>
      </c>
      <c r="Y45" s="63" t="s">
        <v>188</v>
      </c>
      <c r="AB45" t="str">
        <f>CONCATENATE(X45,Z45,Y45)</f>
        <v>&lt;div &gt;</v>
      </c>
      <c r="AC45" s="65"/>
    </row>
    <row r="46" spans="1:29">
      <c r="A46" s="66">
        <f>A39+1</f>
        <v>7</v>
      </c>
      <c r="B46" s="67" t="str">
        <f>IF(B44="","",SUBSTITUTE(SUBSTITUTE(SUBSTITUTE(SUBSTITUTE(SUBSTITUTE(SUBSTITUTE(SUBSTITUTE(SUBSTITUTE(LOWER(CONCATENATE(B44," ",B45))," ","-"),"&lt;",""),"&gt;",""),"ó","o"),"?",""),"¿",""),"é","e"),"á","a"))</f>
        <v>importacion-de-archivos-csv-</v>
      </c>
      <c r="C46" s="68" t="str">
        <f>CONCATENATE("&lt;h3&gt;",SUBSTITUTE(CONCATENATE(B44," ",B45),"&lt;","&amp;lt;"),"&lt;/h3&gt;")</f>
        <v>&lt;h3&gt;Importación de Archivos CSV &lt;/h3&gt;</v>
      </c>
      <c r="D46" s="59"/>
      <c r="E46" s="60"/>
      <c r="F46" t="str">
        <f t="shared" si="30"/>
        <v/>
      </c>
      <c r="G46" s="61">
        <f>G39+1</f>
        <v>7</v>
      </c>
      <c r="J46" s="59"/>
      <c r="K46" s="59"/>
      <c r="L46" s="68" t="str">
        <f>CONCATENATE("&lt;h4&gt;",SUBSTITUTE(CONCATENATE(J44," ",J45),"&lt;","&amp;lt;"),"&lt;/h4&gt;")</f>
        <v>&lt;h4&gt;Archivos Excel &lt;/h4&gt;</v>
      </c>
      <c r="M46" s="65"/>
      <c r="N46" t="str">
        <f t="shared" si="0"/>
        <v/>
      </c>
      <c r="O46" s="61">
        <f>O39+1</f>
        <v>7</v>
      </c>
      <c r="T46" t="str">
        <f>CONCATENATE("&lt;h5&gt;",R44,"&lt;/h5&gt;")</f>
        <v>&lt;h5&gt;Características Principales&lt;/h5&gt;</v>
      </c>
      <c r="U46" s="65"/>
      <c r="V46" t="str">
        <f t="shared" si="2"/>
        <v/>
      </c>
      <c r="W46" s="61">
        <f>W39+1</f>
        <v>7</v>
      </c>
      <c r="AB46" t="str">
        <f>CONCATENATE("&lt;",$Y$1,"&gt;",Z44,"&lt;/",$Y$1,"&gt;")</f>
        <v>&lt;h6&gt;&lt;/h6&gt;</v>
      </c>
      <c r="AC46" s="65"/>
    </row>
    <row r="47" spans="1:29">
      <c r="A47" s="58" t="str">
        <f t="shared" ref="A47:A50" si="31">""</f>
        <v/>
      </c>
      <c r="B47" s="67" t="str">
        <f>IF(B46&lt;&gt;"",IF(B45="",LEFT(B46,LEN(B46)-1),B46),"")</f>
        <v>importacion-de-archivos-csv</v>
      </c>
      <c r="D47" s="59"/>
      <c r="E47" s="60"/>
      <c r="F47" t="str">
        <f t="shared" si="30"/>
        <v/>
      </c>
      <c r="G47" s="61" t="s">
        <v>189</v>
      </c>
      <c r="J47" s="64"/>
      <c r="K47" t="s">
        <v>2</v>
      </c>
      <c r="L47" t="str">
        <f>IF(J47&lt;&gt;"",CONCATENATE("&lt;p&gt;",J47,"&lt;/p&gt;"),"")</f>
        <v/>
      </c>
      <c r="M47" s="65"/>
      <c r="N47" t="str">
        <f t="shared" si="0"/>
        <v/>
      </c>
      <c r="O47" s="61" t="s">
        <v>189</v>
      </c>
      <c r="R47" s="64"/>
      <c r="S47" t="s">
        <v>2</v>
      </c>
      <c r="T47" t="str">
        <f>IF(R47&lt;&gt;"",R47,"")</f>
        <v/>
      </c>
      <c r="U47" s="65"/>
      <c r="V47" t="str">
        <f t="shared" si="2"/>
        <v/>
      </c>
      <c r="W47" s="61" t="s">
        <v>189</v>
      </c>
      <c r="Z47" s="64"/>
      <c r="AA47" t="s">
        <v>2</v>
      </c>
      <c r="AB47" t="str">
        <f>IF(Z47&lt;&gt;"",Z47,"")</f>
        <v/>
      </c>
      <c r="AC47" s="65"/>
    </row>
    <row r="48" spans="1:29">
      <c r="A48" s="58" t="s">
        <v>189</v>
      </c>
      <c r="B48" s="64"/>
      <c r="C48" t="s">
        <v>117</v>
      </c>
      <c r="D48" s="59"/>
      <c r="E48" s="60"/>
      <c r="F48" t="str">
        <f t="shared" si="30"/>
        <v/>
      </c>
      <c r="G48" s="61" t="str">
        <f t="shared" ref="G48:G50" si="32">""</f>
        <v/>
      </c>
      <c r="L48" t="s">
        <v>117</v>
      </c>
      <c r="M48" s="65"/>
      <c r="N48" t="str">
        <f t="shared" si="0"/>
        <v/>
      </c>
      <c r="O48" s="61" t="str">
        <f t="shared" ref="O48:O50" si="33">""</f>
        <v/>
      </c>
      <c r="T48" t="s">
        <v>117</v>
      </c>
      <c r="U48" s="65"/>
      <c r="V48" t="str">
        <f t="shared" si="2"/>
        <v/>
      </c>
      <c r="W48" s="61" t="str">
        <f t="shared" ref="W48:W50" si="34">""</f>
        <v/>
      </c>
      <c r="AB48" t="s">
        <v>117</v>
      </c>
      <c r="AC48" s="65"/>
    </row>
    <row r="49" ht="14.55" spans="1:29">
      <c r="A49" s="69" t="str">
        <f t="shared" si="31"/>
        <v/>
      </c>
      <c r="C49" s="49" t="str">
        <f>CONCATENATE("&lt;!-- ",CONCATENATE(B44," ",B45," fin")," --&gt;")</f>
        <v>&lt;!-- Importación de Archivos CSV  fin --&gt;</v>
      </c>
      <c r="D49" s="70"/>
      <c r="E49" s="71"/>
      <c r="F49" t="str">
        <f t="shared" si="30"/>
        <v/>
      </c>
      <c r="G49" s="72" t="str">
        <f t="shared" si="32"/>
        <v/>
      </c>
      <c r="H49" s="49"/>
      <c r="I49" s="49"/>
      <c r="J49" s="49"/>
      <c r="K49" s="49"/>
      <c r="L49" s="49" t="str">
        <f>CONCATENATE("&lt;!-- ",CONCATENATE(J44," ",J45," fin")," --&gt;")</f>
        <v>&lt;!-- Archivos Excel  fin --&gt;</v>
      </c>
      <c r="M49" s="73"/>
      <c r="N49" t="str">
        <f t="shared" si="0"/>
        <v/>
      </c>
      <c r="O49" s="72" t="str">
        <f t="shared" si="33"/>
        <v/>
      </c>
      <c r="P49" s="49"/>
      <c r="Q49" s="49"/>
      <c r="R49" s="49"/>
      <c r="S49" s="49"/>
      <c r="T49" s="49" t="str">
        <f>CONCATENATE("&lt;!-- ",R44," fin --&gt;")</f>
        <v>&lt;!-- Características Principales fin --&gt;</v>
      </c>
      <c r="U49" s="73"/>
      <c r="V49" t="str">
        <f t="shared" si="2"/>
        <v/>
      </c>
      <c r="W49" s="72" t="str">
        <f t="shared" si="34"/>
        <v/>
      </c>
      <c r="X49" s="49"/>
      <c r="Y49" s="49"/>
      <c r="Z49" s="49"/>
      <c r="AA49" s="49"/>
      <c r="AB49" s="49" t="str">
        <f>CONCATENATE("&lt;!-- ",Z44," fin --&gt;")</f>
        <v>&lt;!--  fin --&gt;</v>
      </c>
      <c r="AC49" s="73"/>
    </row>
    <row r="50" ht="14.55" spans="1:29">
      <c r="A50" s="74" t="str">
        <f t="shared" si="31"/>
        <v/>
      </c>
      <c r="B50" s="52"/>
      <c r="C50" s="49" t="str">
        <f>""</f>
        <v/>
      </c>
      <c r="D50" s="49"/>
      <c r="E50" s="49"/>
      <c r="F50" t="str">
        <f t="shared" si="30"/>
        <v/>
      </c>
      <c r="G50" s="61" t="str">
        <f t="shared" si="32"/>
        <v/>
      </c>
      <c r="H50" s="75"/>
      <c r="I50" s="75"/>
      <c r="J50" s="52"/>
      <c r="K50" s="55"/>
      <c r="L50" s="49" t="str">
        <f>""</f>
        <v/>
      </c>
      <c r="N50" t="str">
        <f t="shared" si="0"/>
        <v/>
      </c>
      <c r="O50" s="54" t="str">
        <f t="shared" si="33"/>
        <v/>
      </c>
      <c r="P50" s="55"/>
      <c r="Q50" s="55"/>
      <c r="R50" s="52"/>
      <c r="S50" s="55"/>
      <c r="T50" s="49" t="str">
        <f>""</f>
        <v/>
      </c>
      <c r="V50" t="str">
        <f t="shared" si="2"/>
        <v/>
      </c>
      <c r="W50" s="54" t="str">
        <f t="shared" si="34"/>
        <v/>
      </c>
      <c r="X50" s="55"/>
      <c r="Y50" s="55"/>
      <c r="Z50" s="52"/>
      <c r="AA50" s="55"/>
      <c r="AB50" s="49" t="str">
        <f>""</f>
        <v/>
      </c>
    </row>
    <row r="51" spans="1:29">
      <c r="A51" s="50" t="str">
        <f>CONCATENATE("Título ",A53)</f>
        <v>Título 8</v>
      </c>
      <c r="B51" s="57" t="s">
        <v>203</v>
      </c>
      <c r="C51" s="51" t="str">
        <f>CONCATENATE("&lt;!-- ",CONCATENATE(B51," ",B52)," --&gt;")</f>
        <v>&lt;!-- Importación de Archivos Excel  --&gt;</v>
      </c>
      <c r="D51" s="52"/>
      <c r="E51" s="53" t="str">
        <f>""</f>
        <v/>
      </c>
      <c r="F51" t="str">
        <f t="shared" ref="F51:F57" si="35">""</f>
        <v/>
      </c>
      <c r="G51" s="54" t="str">
        <f>CONCATENATE("Título ",G53)</f>
        <v>Título 8</v>
      </c>
      <c r="H51" s="55"/>
      <c r="I51" s="55"/>
      <c r="J51" s="57" t="s">
        <v>204</v>
      </c>
      <c r="K51" s="55" t="s">
        <v>2</v>
      </c>
      <c r="L51" s="51" t="str">
        <f>CONCATENATE("&lt;!-- ",CONCATENATE(J51," ",J52)," --&gt;")</f>
        <v>&lt;!-- Requisitos Previos para Importar Documetos Excel  --&gt;</v>
      </c>
      <c r="M51" s="56"/>
      <c r="N51" t="str">
        <f t="shared" si="0"/>
        <v/>
      </c>
      <c r="O51" s="54" t="str">
        <f>G51</f>
        <v>Título 8</v>
      </c>
      <c r="P51" s="55"/>
      <c r="Q51" s="55"/>
      <c r="R51" s="57" t="s">
        <v>205</v>
      </c>
      <c r="S51" s="55"/>
      <c r="T51" s="55" t="str">
        <f>CONCATENATE("&lt;!-- ",R51," --&gt;")</f>
        <v>&lt;!-- Uso en Python con Pandas --&gt;</v>
      </c>
      <c r="U51" s="56"/>
      <c r="V51" t="str">
        <f t="shared" si="2"/>
        <v/>
      </c>
      <c r="W51" s="54" t="str">
        <f>O51</f>
        <v>Título 8</v>
      </c>
      <c r="X51" s="55"/>
      <c r="Y51" s="55"/>
      <c r="Z51" s="57"/>
      <c r="AA51" s="55"/>
      <c r="AB51" s="55" t="str">
        <f>CONCATENATE("&lt;!-- ",Z51," --&gt;")</f>
        <v>&lt;!--  --&gt;</v>
      </c>
      <c r="AC51" s="56"/>
    </row>
    <row r="52" ht="14.4" spans="1:29">
      <c r="A52" s="58" t="s">
        <v>186</v>
      </c>
      <c r="C52" t="str">
        <f>IF(B53&lt;&gt;"",CONCATENATE("&lt;div id=",Comilla,B54,Comilla,"&gt;"),"")</f>
        <v>&lt;div id="importacion-de-archivos-excel"&gt;</v>
      </c>
      <c r="D52" s="59"/>
      <c r="E52" s="60" t="str">
        <f>CONCATENATE(" &lt;a href=",Comilla,"#",B54,Comilla," class=",Comilla,"submenu-item",Comilla,"&gt;",B51,"&lt;/a&gt;")</f>
        <v> &lt;a href="#importacion-de-archivos-excel" class="submenu-item"&gt;Importación de Archivos Excel&lt;/a&gt;</v>
      </c>
      <c r="F52" t="str">
        <f t="shared" si="35"/>
        <v/>
      </c>
      <c r="G52" s="61" t="s">
        <v>186</v>
      </c>
      <c r="H52" s="62" t="s">
        <v>187</v>
      </c>
      <c r="I52" s="63" t="s">
        <v>188</v>
      </c>
      <c r="J52" s="64"/>
      <c r="L52" t="str">
        <f>IF(J51&lt;&gt;"","&lt;div&gt;","")</f>
        <v>&lt;div&gt;</v>
      </c>
      <c r="M52" s="65"/>
      <c r="N52" t="str">
        <f t="shared" si="0"/>
        <v/>
      </c>
      <c r="O52" s="61" t="s">
        <v>186</v>
      </c>
      <c r="P52" s="62" t="s">
        <v>187</v>
      </c>
      <c r="Q52" s="63" t="s">
        <v>188</v>
      </c>
      <c r="T52" t="str">
        <f>CONCATENATE(P52,R52,Q52)</f>
        <v>&lt;div &gt;</v>
      </c>
      <c r="U52" s="65"/>
      <c r="V52" t="str">
        <f t="shared" si="2"/>
        <v/>
      </c>
      <c r="W52" s="61" t="s">
        <v>186</v>
      </c>
      <c r="X52" s="62" t="s">
        <v>187</v>
      </c>
      <c r="Y52" s="63" t="s">
        <v>188</v>
      </c>
      <c r="AB52" t="str">
        <f>CONCATENATE(X52,Z52,Y52)</f>
        <v>&lt;div &gt;</v>
      </c>
      <c r="AC52" s="65"/>
    </row>
    <row r="53" spans="1:29">
      <c r="A53" s="66">
        <f>A46+1</f>
        <v>8</v>
      </c>
      <c r="B53" s="67" t="str">
        <f>IF(B51="","",SUBSTITUTE(SUBSTITUTE(SUBSTITUTE(SUBSTITUTE(SUBSTITUTE(SUBSTITUTE(SUBSTITUTE(SUBSTITUTE(LOWER(CONCATENATE(B51," ",B52))," ","-"),"&lt;",""),"&gt;",""),"ó","o"),"?",""),"¿",""),"é","e"),"á","a"))</f>
        <v>importacion-de-archivos-excel-</v>
      </c>
      <c r="C53" s="68" t="str">
        <f>CONCATENATE("&lt;h3&gt;",SUBSTITUTE(CONCATENATE(B51," ",B52),"&lt;","&amp;lt;"),"&lt;/h3&gt;")</f>
        <v>&lt;h3&gt;Importación de Archivos Excel &lt;/h3&gt;</v>
      </c>
      <c r="D53" s="59"/>
      <c r="E53" s="60"/>
      <c r="F53" t="str">
        <f t="shared" si="35"/>
        <v/>
      </c>
      <c r="G53" s="61">
        <f>G46+1</f>
        <v>8</v>
      </c>
      <c r="J53" s="59"/>
      <c r="K53" s="59"/>
      <c r="L53" s="68" t="str">
        <f>CONCATENATE("&lt;h4&gt;",SUBSTITUTE(CONCATENATE(J51," ",J52),"&lt;","&amp;lt;"),"&lt;/h4&gt;")</f>
        <v>&lt;h4&gt;Requisitos Previos para Importar Documetos Excel &lt;/h4&gt;</v>
      </c>
      <c r="M53" s="65"/>
      <c r="N53" t="str">
        <f t="shared" si="0"/>
        <v/>
      </c>
      <c r="O53" s="61">
        <f>O46+1</f>
        <v>8</v>
      </c>
      <c r="T53" t="str">
        <f>CONCATENATE("&lt;h5&gt;",R51,"&lt;/h5&gt;")</f>
        <v>&lt;h5&gt;Uso en Python con Pandas&lt;/h5&gt;</v>
      </c>
      <c r="U53" s="65"/>
      <c r="V53" t="str">
        <f t="shared" si="2"/>
        <v/>
      </c>
      <c r="W53" s="61">
        <f>W46+1</f>
        <v>8</v>
      </c>
      <c r="AB53" t="str">
        <f>CONCATENATE("&lt;",$Y$1,"&gt;",Z51,"&lt;/",$Y$1,"&gt;")</f>
        <v>&lt;h6&gt;&lt;/h6&gt;</v>
      </c>
      <c r="AC53" s="65"/>
    </row>
    <row r="54" spans="1:29">
      <c r="A54" s="58" t="str">
        <f t="shared" ref="A54:A57" si="36">""</f>
        <v/>
      </c>
      <c r="B54" s="67" t="str">
        <f>IF(B53&lt;&gt;"",IF(B52="",LEFT(B53,LEN(B53)-1),B53),"")</f>
        <v>importacion-de-archivos-excel</v>
      </c>
      <c r="D54" s="59"/>
      <c r="E54" s="60"/>
      <c r="F54" t="str">
        <f t="shared" si="35"/>
        <v/>
      </c>
      <c r="G54" s="61" t="s">
        <v>189</v>
      </c>
      <c r="J54" s="64"/>
      <c r="K54" t="s">
        <v>2</v>
      </c>
      <c r="L54" t="str">
        <f>IF(J54&lt;&gt;"",CONCATENATE("&lt;p&gt;",J54,"&lt;/p&gt;"),"")</f>
        <v/>
      </c>
      <c r="M54" s="65"/>
      <c r="N54" t="str">
        <f t="shared" si="0"/>
        <v/>
      </c>
      <c r="O54" s="61" t="s">
        <v>189</v>
      </c>
      <c r="R54" s="64"/>
      <c r="S54" t="s">
        <v>2</v>
      </c>
      <c r="T54" t="str">
        <f>IF(R54&lt;&gt;"",R54,"")</f>
        <v/>
      </c>
      <c r="U54" s="65"/>
      <c r="V54" t="str">
        <f t="shared" si="2"/>
        <v/>
      </c>
      <c r="W54" s="61" t="s">
        <v>189</v>
      </c>
      <c r="Z54" s="64"/>
      <c r="AA54" t="s">
        <v>2</v>
      </c>
      <c r="AB54" t="str">
        <f>IF(Z54&lt;&gt;"",Z54,"")</f>
        <v/>
      </c>
      <c r="AC54" s="65"/>
    </row>
    <row r="55" spans="1:29">
      <c r="A55" s="58" t="s">
        <v>189</v>
      </c>
      <c r="B55" s="64"/>
      <c r="C55" t="s">
        <v>117</v>
      </c>
      <c r="D55" s="59"/>
      <c r="E55" s="60"/>
      <c r="F55" t="str">
        <f t="shared" si="35"/>
        <v/>
      </c>
      <c r="G55" s="61" t="str">
        <f t="shared" ref="G55:G57" si="37">""</f>
        <v/>
      </c>
      <c r="L55" t="s">
        <v>117</v>
      </c>
      <c r="M55" s="65"/>
      <c r="N55" t="str">
        <f t="shared" si="0"/>
        <v/>
      </c>
      <c r="O55" s="61" t="str">
        <f t="shared" ref="O55:O57" si="38">""</f>
        <v/>
      </c>
      <c r="T55" t="s">
        <v>117</v>
      </c>
      <c r="U55" s="65"/>
      <c r="V55" t="str">
        <f t="shared" si="2"/>
        <v/>
      </c>
      <c r="W55" s="61" t="str">
        <f t="shared" ref="W55:W57" si="39">""</f>
        <v/>
      </c>
      <c r="AB55" t="s">
        <v>117</v>
      </c>
      <c r="AC55" s="65"/>
    </row>
    <row r="56" ht="14.55" spans="1:29">
      <c r="A56" s="69" t="str">
        <f t="shared" si="36"/>
        <v/>
      </c>
      <c r="C56" s="49" t="str">
        <f>CONCATENATE("&lt;!-- ",CONCATENATE(B51," ",B52," fin")," --&gt;")</f>
        <v>&lt;!-- Importación de Archivos Excel  fin --&gt;</v>
      </c>
      <c r="D56" s="70"/>
      <c r="E56" s="71"/>
      <c r="F56" t="str">
        <f t="shared" si="35"/>
        <v/>
      </c>
      <c r="G56" s="72" t="str">
        <f t="shared" si="37"/>
        <v/>
      </c>
      <c r="H56" s="49"/>
      <c r="I56" s="49"/>
      <c r="J56" s="49"/>
      <c r="K56" s="49"/>
      <c r="L56" s="49" t="str">
        <f>CONCATENATE("&lt;!-- ",CONCATENATE(J51," ",J52," fin")," --&gt;")</f>
        <v>&lt;!-- Requisitos Previos para Importar Documetos Excel  fin --&gt;</v>
      </c>
      <c r="M56" s="73"/>
      <c r="N56" t="str">
        <f t="shared" si="0"/>
        <v/>
      </c>
      <c r="O56" s="72" t="str">
        <f t="shared" si="38"/>
        <v/>
      </c>
      <c r="P56" s="49"/>
      <c r="Q56" s="49"/>
      <c r="R56" s="49"/>
      <c r="S56" s="49"/>
      <c r="T56" s="49" t="str">
        <f>CONCATENATE("&lt;!-- ",R51," fin --&gt;")</f>
        <v>&lt;!-- Uso en Python con Pandas fin --&gt;</v>
      </c>
      <c r="U56" s="73"/>
      <c r="V56" t="str">
        <f t="shared" si="2"/>
        <v/>
      </c>
      <c r="W56" s="72" t="str">
        <f t="shared" si="39"/>
        <v/>
      </c>
      <c r="X56" s="49"/>
      <c r="Y56" s="49"/>
      <c r="Z56" s="49"/>
      <c r="AA56" s="49"/>
      <c r="AB56" s="49" t="str">
        <f>CONCATENATE("&lt;!-- ",Z51," fin --&gt;")</f>
        <v>&lt;!--  fin --&gt;</v>
      </c>
      <c r="AC56" s="73"/>
    </row>
    <row r="57" ht="14.55" spans="1:29">
      <c r="A57" s="74" t="str">
        <f t="shared" si="36"/>
        <v/>
      </c>
      <c r="B57" s="52"/>
      <c r="C57" s="49" t="str">
        <f>""</f>
        <v/>
      </c>
      <c r="D57" s="49"/>
      <c r="E57" s="49"/>
      <c r="F57" t="str">
        <f t="shared" si="35"/>
        <v/>
      </c>
      <c r="G57" s="61" t="str">
        <f t="shared" si="37"/>
        <v/>
      </c>
      <c r="H57" s="75"/>
      <c r="I57" s="75"/>
      <c r="J57" s="52"/>
      <c r="K57" s="55"/>
      <c r="L57" s="49" t="str">
        <f>""</f>
        <v/>
      </c>
      <c r="N57" t="str">
        <f t="shared" si="0"/>
        <v/>
      </c>
      <c r="O57" s="54" t="str">
        <f t="shared" si="38"/>
        <v/>
      </c>
      <c r="P57" s="55"/>
      <c r="Q57" s="55"/>
      <c r="R57" s="52"/>
      <c r="S57" s="55"/>
      <c r="T57" s="49" t="str">
        <f>""</f>
        <v/>
      </c>
      <c r="V57" t="str">
        <f t="shared" si="2"/>
        <v/>
      </c>
      <c r="W57" s="54" t="str">
        <f t="shared" si="39"/>
        <v/>
      </c>
      <c r="X57" s="55"/>
      <c r="Y57" s="55"/>
      <c r="Z57" s="52"/>
      <c r="AA57" s="55"/>
      <c r="AB57" s="49" t="str">
        <f>""</f>
        <v/>
      </c>
    </row>
    <row r="58" spans="1:29">
      <c r="A58" s="50" t="str">
        <f>CONCATENATE("Título ",A60)</f>
        <v>Título 9</v>
      </c>
      <c r="B58" s="57" t="s">
        <v>206</v>
      </c>
      <c r="C58" s="51" t="str">
        <f>CONCATENATE("&lt;!-- ",CONCATENATE(B58," ",B59)," --&gt;")</f>
        <v>&lt;!-- Importación de Otras Fuentes  --&gt;</v>
      </c>
      <c r="D58" s="52"/>
      <c r="E58" s="53" t="str">
        <f>""</f>
        <v/>
      </c>
      <c r="F58" t="str">
        <f t="shared" ref="F58:F64" si="40">""</f>
        <v/>
      </c>
      <c r="G58" s="54" t="str">
        <f>CONCATENATE("Título ",G60)</f>
        <v>Título 9</v>
      </c>
      <c r="H58" s="55"/>
      <c r="I58" s="55"/>
      <c r="J58" s="57" t="s">
        <v>207</v>
      </c>
      <c r="K58" s="55" t="s">
        <v>2</v>
      </c>
      <c r="L58" s="51" t="str">
        <f>CONCATENATE("&lt;!-- ",CONCATENATE(J58," ",J59)," --&gt;")</f>
        <v>&lt;!-- Cargar un Archivo Excel  --&gt;</v>
      </c>
      <c r="M58" s="56"/>
      <c r="N58" t="str">
        <f t="shared" si="0"/>
        <v/>
      </c>
      <c r="O58" s="54" t="str">
        <f>G58</f>
        <v>Título 9</v>
      </c>
      <c r="P58" s="55"/>
      <c r="Q58" s="55"/>
      <c r="R58" s="57" t="s">
        <v>208</v>
      </c>
      <c r="S58" s="55"/>
      <c r="T58" s="55" t="str">
        <f>CONCATENATE("&lt;!-- ",R58," --&gt;")</f>
        <v>&lt;!-- Ventajas --&gt;</v>
      </c>
      <c r="U58" s="56"/>
      <c r="V58" t="str">
        <f t="shared" si="2"/>
        <v/>
      </c>
      <c r="W58" s="54" t="str">
        <f>O58</f>
        <v>Título 9</v>
      </c>
      <c r="X58" s="55"/>
      <c r="Y58" s="55"/>
      <c r="Z58" s="57" t="s">
        <v>209</v>
      </c>
      <c r="AA58" s="55"/>
      <c r="AB58" s="55" t="str">
        <f>CONCATENATE("&lt;!-- ",Z58," --&gt;")</f>
        <v>&lt;!-- df.head(n) --&gt;</v>
      </c>
      <c r="AC58" s="56"/>
    </row>
    <row r="59" ht="14.4" spans="1:29">
      <c r="A59" s="58" t="s">
        <v>186</v>
      </c>
      <c r="C59" t="str">
        <f>IF(B60&lt;&gt;"",CONCATENATE("&lt;div id=",Comilla,B61,Comilla,"&gt;"),"")</f>
        <v>&lt;div id="importacion-de-otras-fuentes"&gt;</v>
      </c>
      <c r="D59" s="59"/>
      <c r="E59" s="60" t="str">
        <f>CONCATENATE(" &lt;a href=",Comilla,"#",B61,Comilla," class=",Comilla,"submenu-item",Comilla,"&gt;",B58,"&lt;/a&gt;")</f>
        <v> &lt;a href="#importacion-de-otras-fuentes" class="submenu-item"&gt;Importación de Otras Fuentes&lt;/a&gt;</v>
      </c>
      <c r="F59" t="str">
        <f t="shared" si="40"/>
        <v/>
      </c>
      <c r="G59" s="61" t="s">
        <v>186</v>
      </c>
      <c r="H59" s="62" t="s">
        <v>187</v>
      </c>
      <c r="I59" s="63" t="s">
        <v>188</v>
      </c>
      <c r="J59" s="64"/>
      <c r="L59" t="str">
        <f>IF(J58&lt;&gt;"","&lt;div&gt;","")</f>
        <v>&lt;div&gt;</v>
      </c>
      <c r="M59" s="65"/>
      <c r="N59" t="str">
        <f t="shared" si="0"/>
        <v/>
      </c>
      <c r="O59" s="61" t="s">
        <v>186</v>
      </c>
      <c r="P59" s="62" t="s">
        <v>187</v>
      </c>
      <c r="Q59" s="63" t="s">
        <v>188</v>
      </c>
      <c r="T59" t="str">
        <f>CONCATENATE(P59,R59,Q59)</f>
        <v>&lt;div &gt;</v>
      </c>
      <c r="U59" s="65"/>
      <c r="V59" t="str">
        <f t="shared" si="2"/>
        <v/>
      </c>
      <c r="W59" s="61" t="s">
        <v>186</v>
      </c>
      <c r="X59" s="62" t="s">
        <v>187</v>
      </c>
      <c r="Y59" s="63" t="s">
        <v>188</v>
      </c>
      <c r="AB59" t="str">
        <f>CONCATENATE(X59,Z59,Y59)</f>
        <v>&lt;div &gt;</v>
      </c>
      <c r="AC59" s="65"/>
    </row>
    <row r="60" spans="1:29">
      <c r="A60" s="66">
        <f>A53+1</f>
        <v>9</v>
      </c>
      <c r="B60" s="67" t="str">
        <f>IF(B58="","",SUBSTITUTE(SUBSTITUTE(SUBSTITUTE(SUBSTITUTE(SUBSTITUTE(SUBSTITUTE(SUBSTITUTE(SUBSTITUTE(LOWER(CONCATENATE(B58," ",B59))," ","-"),"&lt;",""),"&gt;",""),"ó","o"),"?",""),"¿",""),"é","e"),"á","a"))</f>
        <v>importacion-de-otras-fuentes-</v>
      </c>
      <c r="C60" s="68" t="str">
        <f>CONCATENATE("&lt;h3&gt;",SUBSTITUTE(CONCATENATE(B58," ",B59),"&lt;","&amp;lt;"),"&lt;/h3&gt;")</f>
        <v>&lt;h3&gt;Importación de Otras Fuentes &lt;/h3&gt;</v>
      </c>
      <c r="D60" s="59"/>
      <c r="E60" s="60"/>
      <c r="F60" t="str">
        <f t="shared" si="40"/>
        <v/>
      </c>
      <c r="G60" s="61">
        <f>G53+1</f>
        <v>9</v>
      </c>
      <c r="J60" s="59"/>
      <c r="K60" s="59"/>
      <c r="L60" s="68" t="str">
        <f>CONCATENATE("&lt;h4&gt;",SUBSTITUTE(CONCATENATE(J58," ",J59),"&lt;","&amp;lt;"),"&lt;/h4&gt;")</f>
        <v>&lt;h4&gt;Cargar un Archivo Excel &lt;/h4&gt;</v>
      </c>
      <c r="M60" s="65"/>
      <c r="N60" t="str">
        <f t="shared" si="0"/>
        <v/>
      </c>
      <c r="O60" s="61">
        <f>O53+1</f>
        <v>9</v>
      </c>
      <c r="T60" t="str">
        <f>CONCATENATE("&lt;h5&gt;",R58,"&lt;/h5&gt;")</f>
        <v>&lt;h5&gt;Ventajas&lt;/h5&gt;</v>
      </c>
      <c r="U60" s="65"/>
      <c r="V60" t="str">
        <f t="shared" si="2"/>
        <v/>
      </c>
      <c r="W60" s="61">
        <f>W53+1</f>
        <v>9</v>
      </c>
      <c r="AB60" t="str">
        <f>CONCATENATE("&lt;",$Y$1,"&gt;",Z58,"&lt;/",$Y$1,"&gt;")</f>
        <v>&lt;h6&gt;df.head(n)&lt;/h6&gt;</v>
      </c>
      <c r="AC60" s="65"/>
    </row>
    <row r="61" spans="1:29">
      <c r="A61" s="58" t="str">
        <f t="shared" ref="A61:A64" si="41">""</f>
        <v/>
      </c>
      <c r="B61" s="67" t="str">
        <f>IF(B60&lt;&gt;"",IF(B59="",LEFT(B60,LEN(B60)-1),B60),"")</f>
        <v>importacion-de-otras-fuentes</v>
      </c>
      <c r="D61" s="59"/>
      <c r="E61" s="60"/>
      <c r="F61" t="str">
        <f t="shared" si="40"/>
        <v/>
      </c>
      <c r="G61" s="61" t="s">
        <v>189</v>
      </c>
      <c r="J61" s="64"/>
      <c r="K61" t="s">
        <v>2</v>
      </c>
      <c r="L61" t="str">
        <f>IF(J61&lt;&gt;"",CONCATENATE("&lt;p&gt;",J61,"&lt;/p&gt;"),"")</f>
        <v/>
      </c>
      <c r="M61" s="65"/>
      <c r="N61" t="str">
        <f t="shared" si="0"/>
        <v/>
      </c>
      <c r="O61" s="61" t="s">
        <v>189</v>
      </c>
      <c r="R61" s="64"/>
      <c r="S61" t="s">
        <v>2</v>
      </c>
      <c r="T61" t="str">
        <f>IF(R61&lt;&gt;"",R61,"")</f>
        <v/>
      </c>
      <c r="U61" s="65"/>
      <c r="V61" t="str">
        <f t="shared" si="2"/>
        <v/>
      </c>
      <c r="W61" s="61" t="s">
        <v>189</v>
      </c>
      <c r="Z61" s="64"/>
      <c r="AA61" t="s">
        <v>2</v>
      </c>
      <c r="AB61" t="str">
        <f>IF(Z61&lt;&gt;"",Z61,"")</f>
        <v/>
      </c>
      <c r="AC61" s="65"/>
    </row>
    <row r="62" spans="1:29">
      <c r="A62" s="58" t="s">
        <v>189</v>
      </c>
      <c r="B62" s="64"/>
      <c r="C62" t="s">
        <v>117</v>
      </c>
      <c r="D62" s="59"/>
      <c r="E62" s="60"/>
      <c r="F62" t="str">
        <f t="shared" si="40"/>
        <v/>
      </c>
      <c r="G62" s="61" t="str">
        <f t="shared" ref="G62:G64" si="42">""</f>
        <v/>
      </c>
      <c r="L62" t="s">
        <v>117</v>
      </c>
      <c r="M62" s="65"/>
      <c r="N62" t="str">
        <f t="shared" si="0"/>
        <v/>
      </c>
      <c r="O62" s="61" t="str">
        <f t="shared" ref="O62:O64" si="43">""</f>
        <v/>
      </c>
      <c r="T62" t="s">
        <v>117</v>
      </c>
      <c r="U62" s="65"/>
      <c r="V62" t="str">
        <f t="shared" si="2"/>
        <v/>
      </c>
      <c r="W62" s="61" t="str">
        <f t="shared" ref="W62:W64" si="44">""</f>
        <v/>
      </c>
      <c r="AB62" t="s">
        <v>117</v>
      </c>
      <c r="AC62" s="65"/>
    </row>
    <row r="63" ht="14.55" spans="1:29">
      <c r="A63" s="69" t="str">
        <f t="shared" si="41"/>
        <v/>
      </c>
      <c r="C63" s="49" t="str">
        <f>CONCATENATE("&lt;!-- ",CONCATENATE(B58," ",B59," fin")," --&gt;")</f>
        <v>&lt;!-- Importación de Otras Fuentes  fin --&gt;</v>
      </c>
      <c r="D63" s="70"/>
      <c r="E63" s="71"/>
      <c r="F63" t="str">
        <f t="shared" si="40"/>
        <v/>
      </c>
      <c r="G63" s="72" t="str">
        <f t="shared" si="42"/>
        <v/>
      </c>
      <c r="H63" s="49"/>
      <c r="I63" s="49"/>
      <c r="J63" s="49"/>
      <c r="K63" s="49"/>
      <c r="L63" s="49" t="str">
        <f>CONCATENATE("&lt;!-- ",CONCATENATE(J58," ",J59," fin")," --&gt;")</f>
        <v>&lt;!-- Cargar un Archivo Excel  fin --&gt;</v>
      </c>
      <c r="M63" s="73"/>
      <c r="N63" t="str">
        <f t="shared" si="0"/>
        <v/>
      </c>
      <c r="O63" s="72" t="str">
        <f t="shared" si="43"/>
        <v/>
      </c>
      <c r="P63" s="49"/>
      <c r="Q63" s="49"/>
      <c r="R63" s="49"/>
      <c r="S63" s="49"/>
      <c r="T63" s="49" t="str">
        <f>CONCATENATE("&lt;!-- ",R58," fin --&gt;")</f>
        <v>&lt;!-- Ventajas fin --&gt;</v>
      </c>
      <c r="U63" s="73"/>
      <c r="V63" t="str">
        <f t="shared" si="2"/>
        <v/>
      </c>
      <c r="W63" s="72" t="str">
        <f t="shared" si="44"/>
        <v/>
      </c>
      <c r="X63" s="49"/>
      <c r="Y63" s="49"/>
      <c r="Z63" s="49"/>
      <c r="AA63" s="49"/>
      <c r="AB63" s="49" t="str">
        <f>CONCATENATE("&lt;!-- ",Z58," fin --&gt;")</f>
        <v>&lt;!-- df.head(n) fin --&gt;</v>
      </c>
      <c r="AC63" s="73"/>
    </row>
    <row r="64" ht="14.55" spans="1:29">
      <c r="A64" s="74" t="str">
        <f t="shared" si="41"/>
        <v/>
      </c>
      <c r="B64" s="52"/>
      <c r="C64" s="49" t="str">
        <f>""</f>
        <v/>
      </c>
      <c r="D64" s="49"/>
      <c r="E64" s="49"/>
      <c r="F64" t="str">
        <f t="shared" si="40"/>
        <v/>
      </c>
      <c r="G64" s="61" t="str">
        <f t="shared" si="42"/>
        <v/>
      </c>
      <c r="H64" s="75"/>
      <c r="I64" s="75"/>
      <c r="J64" s="52"/>
      <c r="K64" s="55"/>
      <c r="L64" s="49" t="str">
        <f>""</f>
        <v/>
      </c>
      <c r="N64" t="str">
        <f t="shared" si="0"/>
        <v/>
      </c>
      <c r="O64" s="54" t="str">
        <f t="shared" si="43"/>
        <v/>
      </c>
      <c r="P64" s="55"/>
      <c r="Q64" s="55"/>
      <c r="R64" s="52"/>
      <c r="S64" s="55"/>
      <c r="T64" s="49" t="str">
        <f>""</f>
        <v/>
      </c>
      <c r="V64" t="str">
        <f t="shared" ref="V64:V127" si="45">""</f>
        <v/>
      </c>
      <c r="W64" s="54" t="str">
        <f t="shared" si="44"/>
        <v/>
      </c>
      <c r="X64" s="55"/>
      <c r="Y64" s="55"/>
      <c r="Z64" s="52"/>
      <c r="AA64" s="55"/>
      <c r="AB64" s="49" t="str">
        <f>""</f>
        <v/>
      </c>
    </row>
    <row r="65" spans="1:29">
      <c r="A65" s="50" t="str">
        <f>CONCATENATE("Título ",A67)</f>
        <v>Título 10</v>
      </c>
      <c r="B65" s="57"/>
      <c r="C65" s="51" t="str">
        <f>CONCATENATE("&lt;!-- ",CONCATENATE(B65," ",B66)," --&gt;")</f>
        <v>&lt;!--   --&gt;</v>
      </c>
      <c r="D65" s="52"/>
      <c r="E65" s="53" t="str">
        <f>""</f>
        <v/>
      </c>
      <c r="F65" t="str">
        <f t="shared" ref="F65:F71" si="46">""</f>
        <v/>
      </c>
      <c r="G65" s="54" t="str">
        <f>CONCATENATE("Título ",G67)</f>
        <v>Título 10</v>
      </c>
      <c r="H65" s="55"/>
      <c r="I65" s="55"/>
      <c r="J65" s="57" t="s">
        <v>210</v>
      </c>
      <c r="K65" s="55" t="s">
        <v>2</v>
      </c>
      <c r="L65" s="51" t="str">
        <f>CONCATENATE("&lt;!-- ",CONCATENATE(J65," ",J66)," --&gt;")</f>
        <v>&lt;!-- Especificar una Hoja (sheet)  --&gt;</v>
      </c>
      <c r="M65" s="56"/>
      <c r="N65" t="str">
        <f t="shared" ref="N65:N128" si="47">""</f>
        <v/>
      </c>
      <c r="O65" s="54" t="str">
        <f>G65</f>
        <v>Título 10</v>
      </c>
      <c r="P65" s="55"/>
      <c r="Q65" s="55"/>
      <c r="R65" s="57" t="s">
        <v>211</v>
      </c>
      <c r="S65" s="55"/>
      <c r="T65" s="55" t="str">
        <f>CONCATENATE("&lt;!-- ",R65," --&gt;")</f>
        <v>&lt;!-- Desventajas --&gt;</v>
      </c>
      <c r="U65" s="56"/>
      <c r="V65" t="str">
        <f t="shared" si="45"/>
        <v/>
      </c>
      <c r="W65" s="54" t="str">
        <f>O65</f>
        <v>Título 10</v>
      </c>
      <c r="X65" s="55"/>
      <c r="Y65" s="55"/>
      <c r="Z65" s="57" t="s">
        <v>212</v>
      </c>
      <c r="AA65" s="55"/>
      <c r="AB65" s="55" t="str">
        <f>CONCATENATE("&lt;!-- ",Z65," --&gt;")</f>
        <v>&lt;!-- df.tail(n) --&gt;</v>
      </c>
      <c r="AC65" s="56"/>
    </row>
    <row r="66" ht="14.4" spans="1:29">
      <c r="A66" s="58" t="s">
        <v>186</v>
      </c>
      <c r="C66" t="str">
        <f>IF(B67&lt;&gt;"",CONCATENATE("&lt;div id=",Comilla,B68,Comilla,"&gt;"),"")</f>
        <v/>
      </c>
      <c r="D66" s="59"/>
      <c r="E66" s="60" t="str">
        <f>CONCATENATE(" &lt;a href=",Comilla,"#",B68,Comilla," class=",Comilla,"submenu-item",Comilla,"&gt;",B65,"&lt;/a&gt;")</f>
        <v> &lt;a href="#" class="submenu-item"&gt;&lt;/a&gt;</v>
      </c>
      <c r="F66" t="str">
        <f t="shared" si="46"/>
        <v/>
      </c>
      <c r="G66" s="61" t="s">
        <v>186</v>
      </c>
      <c r="H66" s="62" t="s">
        <v>187</v>
      </c>
      <c r="I66" s="63" t="s">
        <v>188</v>
      </c>
      <c r="J66" s="64"/>
      <c r="L66" t="str">
        <f>IF(J65&lt;&gt;"","&lt;div&gt;","")</f>
        <v>&lt;div&gt;</v>
      </c>
      <c r="M66" s="65"/>
      <c r="N66" t="str">
        <f t="shared" si="47"/>
        <v/>
      </c>
      <c r="O66" s="61" t="s">
        <v>186</v>
      </c>
      <c r="P66" s="62" t="s">
        <v>187</v>
      </c>
      <c r="Q66" s="63" t="s">
        <v>188</v>
      </c>
      <c r="T66" t="str">
        <f>CONCATENATE(P66,R66,Q66)</f>
        <v>&lt;div &gt;</v>
      </c>
      <c r="U66" s="65"/>
      <c r="V66" t="str">
        <f t="shared" si="45"/>
        <v/>
      </c>
      <c r="W66" s="61" t="s">
        <v>186</v>
      </c>
      <c r="X66" s="62" t="s">
        <v>187</v>
      </c>
      <c r="Y66" s="63" t="s">
        <v>188</v>
      </c>
      <c r="AB66" t="str">
        <f>CONCATENATE(X66,Z66,Y66)</f>
        <v>&lt;div &gt;</v>
      </c>
      <c r="AC66" s="65"/>
    </row>
    <row r="67" spans="1:29">
      <c r="A67" s="66">
        <f>A60+1</f>
        <v>10</v>
      </c>
      <c r="B67" s="67" t="str">
        <f>IF(B65="","",SUBSTITUTE(SUBSTITUTE(SUBSTITUTE(SUBSTITUTE(SUBSTITUTE(SUBSTITUTE(SUBSTITUTE(SUBSTITUTE(LOWER(CONCATENATE(B65," ",B66))," ","-"),"&lt;",""),"&gt;",""),"ó","o"),"?",""),"¿",""),"é","e"),"á","a"))</f>
        <v/>
      </c>
      <c r="C67" s="68" t="str">
        <f>CONCATENATE("&lt;h3&gt;",SUBSTITUTE(CONCATENATE(B65," ",B66),"&lt;","&amp;lt;"),"&lt;/h3&gt;")</f>
        <v>&lt;h3&gt; &lt;/h3&gt;</v>
      </c>
      <c r="D67" s="59"/>
      <c r="E67" s="60"/>
      <c r="F67" t="str">
        <f t="shared" si="46"/>
        <v/>
      </c>
      <c r="G67" s="61">
        <f>G60+1</f>
        <v>10</v>
      </c>
      <c r="J67" s="59"/>
      <c r="K67" s="59"/>
      <c r="L67" s="68" t="str">
        <f>CONCATENATE("&lt;h4&gt;",SUBSTITUTE(CONCATENATE(J65," ",J66),"&lt;","&amp;lt;"),"&lt;/h4&gt;")</f>
        <v>&lt;h4&gt;Especificar una Hoja (sheet) &lt;/h4&gt;</v>
      </c>
      <c r="M67" s="65"/>
      <c r="N67" t="str">
        <f t="shared" si="47"/>
        <v/>
      </c>
      <c r="O67" s="61">
        <f>O60+1</f>
        <v>10</v>
      </c>
      <c r="T67" t="str">
        <f>CONCATENATE("&lt;h5&gt;",R65,"&lt;/h5&gt;")</f>
        <v>&lt;h5&gt;Desventajas&lt;/h5&gt;</v>
      </c>
      <c r="U67" s="65"/>
      <c r="V67" t="str">
        <f t="shared" si="45"/>
        <v/>
      </c>
      <c r="W67" s="61">
        <f>W60+1</f>
        <v>10</v>
      </c>
      <c r="AB67" t="str">
        <f>CONCATENATE("&lt;",$Y$1,"&gt;",Z65,"&lt;/",$Y$1,"&gt;")</f>
        <v>&lt;h6&gt;df.tail(n)&lt;/h6&gt;</v>
      </c>
      <c r="AC67" s="65"/>
    </row>
    <row r="68" spans="1:29">
      <c r="A68" s="58" t="str">
        <f t="shared" ref="A68:A71" si="48">""</f>
        <v/>
      </c>
      <c r="B68" s="67" t="str">
        <f>IF(B67&lt;&gt;"",IF(B66="",LEFT(B67,LEN(B67)-1),B67),"")</f>
        <v/>
      </c>
      <c r="D68" s="59"/>
      <c r="E68" s="60"/>
      <c r="F68" t="str">
        <f t="shared" si="46"/>
        <v/>
      </c>
      <c r="G68" s="61" t="s">
        <v>189</v>
      </c>
      <c r="J68" s="64"/>
      <c r="K68" t="s">
        <v>2</v>
      </c>
      <c r="L68" t="str">
        <f>IF(J68&lt;&gt;"",CONCATENATE("&lt;p&gt;",J68,"&lt;/p&gt;"),"")</f>
        <v/>
      </c>
      <c r="M68" s="65"/>
      <c r="N68" t="str">
        <f t="shared" si="47"/>
        <v/>
      </c>
      <c r="O68" s="61" t="s">
        <v>189</v>
      </c>
      <c r="R68" s="64"/>
      <c r="S68" t="s">
        <v>2</v>
      </c>
      <c r="T68" t="str">
        <f>IF(R68&lt;&gt;"",R68,"")</f>
        <v/>
      </c>
      <c r="U68" s="65"/>
      <c r="V68" t="str">
        <f t="shared" si="45"/>
        <v/>
      </c>
      <c r="W68" s="61" t="s">
        <v>189</v>
      </c>
      <c r="Z68" s="64"/>
      <c r="AA68" t="s">
        <v>2</v>
      </c>
      <c r="AB68" t="str">
        <f>IF(Z68&lt;&gt;"",Z68,"")</f>
        <v/>
      </c>
      <c r="AC68" s="65"/>
    </row>
    <row r="69" spans="1:29">
      <c r="A69" s="58" t="s">
        <v>189</v>
      </c>
      <c r="B69" s="64"/>
      <c r="C69" t="s">
        <v>117</v>
      </c>
      <c r="D69" s="59"/>
      <c r="E69" s="60"/>
      <c r="F69" t="str">
        <f t="shared" si="46"/>
        <v/>
      </c>
      <c r="G69" s="61" t="str">
        <f t="shared" ref="G69:G71" si="49">""</f>
        <v/>
      </c>
      <c r="L69" t="s">
        <v>117</v>
      </c>
      <c r="M69" s="65"/>
      <c r="N69" t="str">
        <f t="shared" si="47"/>
        <v/>
      </c>
      <c r="O69" s="61" t="str">
        <f t="shared" ref="O69:O71" si="50">""</f>
        <v/>
      </c>
      <c r="T69" t="s">
        <v>117</v>
      </c>
      <c r="U69" s="65"/>
      <c r="V69" t="str">
        <f t="shared" si="45"/>
        <v/>
      </c>
      <c r="W69" s="61" t="str">
        <f t="shared" ref="W69:W71" si="51">""</f>
        <v/>
      </c>
      <c r="AB69" t="s">
        <v>117</v>
      </c>
      <c r="AC69" s="65"/>
    </row>
    <row r="70" ht="14.55" spans="1:29">
      <c r="A70" s="69" t="str">
        <f t="shared" si="48"/>
        <v/>
      </c>
      <c r="C70" s="49" t="str">
        <f>CONCATENATE("&lt;!-- ",CONCATENATE(B65," ",B66," fin")," --&gt;")</f>
        <v>&lt;!--   fin --&gt;</v>
      </c>
      <c r="D70" s="70"/>
      <c r="E70" s="71"/>
      <c r="F70" t="str">
        <f t="shared" si="46"/>
        <v/>
      </c>
      <c r="G70" s="72" t="str">
        <f t="shared" si="49"/>
        <v/>
      </c>
      <c r="H70" s="49"/>
      <c r="I70" s="49"/>
      <c r="J70" s="49"/>
      <c r="K70" s="49"/>
      <c r="L70" s="49" t="str">
        <f>CONCATENATE("&lt;!-- ",CONCATENATE(J65," ",J66," fin")," --&gt;")</f>
        <v>&lt;!-- Especificar una Hoja (sheet)  fin --&gt;</v>
      </c>
      <c r="M70" s="73"/>
      <c r="N70" t="str">
        <f t="shared" si="47"/>
        <v/>
      </c>
      <c r="O70" s="72" t="str">
        <f t="shared" si="50"/>
        <v/>
      </c>
      <c r="P70" s="49"/>
      <c r="Q70" s="49"/>
      <c r="R70" s="49"/>
      <c r="S70" s="49"/>
      <c r="T70" s="49" t="str">
        <f>CONCATENATE("&lt;!-- ",R65," fin --&gt;")</f>
        <v>&lt;!-- Desventajas fin --&gt;</v>
      </c>
      <c r="U70" s="73"/>
      <c r="V70" t="str">
        <f t="shared" si="45"/>
        <v/>
      </c>
      <c r="W70" s="72" t="str">
        <f t="shared" si="51"/>
        <v/>
      </c>
      <c r="X70" s="49"/>
      <c r="Y70" s="49"/>
      <c r="Z70" s="49"/>
      <c r="AA70" s="49"/>
      <c r="AB70" s="49" t="str">
        <f>CONCATENATE("&lt;!-- ",Z65," fin --&gt;")</f>
        <v>&lt;!-- df.tail(n) fin --&gt;</v>
      </c>
      <c r="AC70" s="73"/>
    </row>
    <row r="71" ht="14.55" spans="1:29">
      <c r="A71" s="74" t="str">
        <f t="shared" si="48"/>
        <v/>
      </c>
      <c r="B71" s="52"/>
      <c r="C71" s="49" t="str">
        <f>""</f>
        <v/>
      </c>
      <c r="D71" s="49"/>
      <c r="E71" s="49"/>
      <c r="F71" t="str">
        <f t="shared" si="46"/>
        <v/>
      </c>
      <c r="G71" s="61" t="str">
        <f t="shared" si="49"/>
        <v/>
      </c>
      <c r="H71" s="75"/>
      <c r="I71" s="75"/>
      <c r="J71" s="52"/>
      <c r="K71" s="55"/>
      <c r="L71" s="49" t="str">
        <f>""</f>
        <v/>
      </c>
      <c r="N71" t="str">
        <f t="shared" si="47"/>
        <v/>
      </c>
      <c r="O71" s="54" t="str">
        <f t="shared" si="50"/>
        <v/>
      </c>
      <c r="P71" s="55"/>
      <c r="Q71" s="55"/>
      <c r="R71" s="52"/>
      <c r="S71" s="55"/>
      <c r="T71" s="49" t="str">
        <f>""</f>
        <v/>
      </c>
      <c r="V71" t="str">
        <f t="shared" si="45"/>
        <v/>
      </c>
      <c r="W71" s="54" t="str">
        <f t="shared" si="51"/>
        <v/>
      </c>
      <c r="X71" s="55"/>
      <c r="Y71" s="55"/>
      <c r="Z71" s="52"/>
      <c r="AA71" s="55"/>
      <c r="AB71" s="49" t="str">
        <f>""</f>
        <v/>
      </c>
    </row>
    <row r="72" spans="1:29">
      <c r="A72" s="50" t="str">
        <f>CONCATENATE("Título ",A74)</f>
        <v>Título 11</v>
      </c>
      <c r="B72" s="57"/>
      <c r="C72" s="51" t="str">
        <f>CONCATENATE("&lt;!-- ",CONCATENATE(B72," ",B73)," --&gt;")</f>
        <v>&lt;!--   --&gt;</v>
      </c>
      <c r="D72" s="52"/>
      <c r="E72" s="53" t="str">
        <f>""</f>
        <v/>
      </c>
      <c r="F72" t="str">
        <f t="shared" ref="F72:F78" si="52">""</f>
        <v/>
      </c>
      <c r="G72" s="54" t="str">
        <f>CONCATENATE("Título ",G74)</f>
        <v>Título 11</v>
      </c>
      <c r="H72" s="55"/>
      <c r="I72" s="55"/>
      <c r="J72" s="57" t="s">
        <v>213</v>
      </c>
      <c r="K72" s="55" t="s">
        <v>2</v>
      </c>
      <c r="L72" s="51" t="str">
        <f>CONCATENATE("&lt;!-- ",CONCATENATE(J72," ",J73)," --&gt;")</f>
        <v>&lt;!-- Parámetros Utiles en read_excel()  --&gt;</v>
      </c>
      <c r="M72" s="56"/>
      <c r="N72" t="str">
        <f t="shared" si="47"/>
        <v/>
      </c>
      <c r="O72" s="54" t="str">
        <f>G72</f>
        <v>Título 11</v>
      </c>
      <c r="P72" s="55"/>
      <c r="Q72" s="55"/>
      <c r="R72" s="57"/>
      <c r="S72" s="55"/>
      <c r="T72" s="55" t="str">
        <f>CONCATENATE("&lt;!-- ",R72," --&gt;")</f>
        <v>&lt;!--  --&gt;</v>
      </c>
      <c r="U72" s="56"/>
      <c r="V72" t="str">
        <f t="shared" si="45"/>
        <v/>
      </c>
      <c r="W72" s="54" t="str">
        <f>O72</f>
        <v>Título 11</v>
      </c>
      <c r="X72" s="55"/>
      <c r="Y72" s="55"/>
      <c r="Z72" s="57" t="s">
        <v>214</v>
      </c>
      <c r="AA72" s="55"/>
      <c r="AB72" s="55" t="str">
        <f>CONCATENATE("&lt;!-- ",Z72," --&gt;")</f>
        <v>&lt;!-- df.info() --&gt;</v>
      </c>
      <c r="AC72" s="56"/>
    </row>
    <row r="73" ht="14.4" spans="1:29">
      <c r="A73" s="58" t="s">
        <v>186</v>
      </c>
      <c r="C73" t="str">
        <f>IF(B74&lt;&gt;"",CONCATENATE("&lt;div id=",Comilla,B75,Comilla,"&gt;"),"")</f>
        <v/>
      </c>
      <c r="D73" s="59"/>
      <c r="E73" s="60" t="str">
        <f>CONCATENATE(" &lt;a href=",Comilla,"#",B75,Comilla," class=",Comilla,"submenu-item",Comilla,"&gt;",B72,"&lt;/a&gt;")</f>
        <v> &lt;a href="#" class="submenu-item"&gt;&lt;/a&gt;</v>
      </c>
      <c r="F73" t="str">
        <f t="shared" si="52"/>
        <v/>
      </c>
      <c r="G73" s="61" t="s">
        <v>186</v>
      </c>
      <c r="H73" s="62" t="s">
        <v>187</v>
      </c>
      <c r="I73" s="63" t="s">
        <v>188</v>
      </c>
      <c r="J73" s="64"/>
      <c r="L73" t="str">
        <f>IF(J72&lt;&gt;"","&lt;div&gt;","")</f>
        <v>&lt;div&gt;</v>
      </c>
      <c r="M73" s="65"/>
      <c r="N73" t="str">
        <f t="shared" si="47"/>
        <v/>
      </c>
      <c r="O73" s="61" t="s">
        <v>186</v>
      </c>
      <c r="P73" s="62" t="s">
        <v>187</v>
      </c>
      <c r="Q73" s="63" t="s">
        <v>188</v>
      </c>
      <c r="T73" t="str">
        <f>CONCATENATE(P73,R73,Q73)</f>
        <v>&lt;div &gt;</v>
      </c>
      <c r="U73" s="65"/>
      <c r="V73" t="str">
        <f t="shared" si="45"/>
        <v/>
      </c>
      <c r="W73" s="61" t="s">
        <v>186</v>
      </c>
      <c r="X73" s="62" t="s">
        <v>187</v>
      </c>
      <c r="Y73" s="63" t="s">
        <v>188</v>
      </c>
      <c r="AB73" t="str">
        <f>CONCATENATE(X73,Z73,Y73)</f>
        <v>&lt;div &gt;</v>
      </c>
      <c r="AC73" s="65"/>
    </row>
    <row r="74" spans="1:29">
      <c r="A74" s="66">
        <f>A67+1</f>
        <v>11</v>
      </c>
      <c r="B74" s="67" t="str">
        <f>IF(B72="","",SUBSTITUTE(SUBSTITUTE(SUBSTITUTE(SUBSTITUTE(SUBSTITUTE(SUBSTITUTE(SUBSTITUTE(SUBSTITUTE(LOWER(CONCATENATE(B72," ",B73))," ","-"),"&lt;",""),"&gt;",""),"ó","o"),"?",""),"¿",""),"é","e"),"á","a"))</f>
        <v/>
      </c>
      <c r="C74" s="68" t="str">
        <f>CONCATENATE("&lt;h3&gt;",SUBSTITUTE(CONCATENATE(B72," ",B73),"&lt;","&amp;lt;"),"&lt;/h3&gt;")</f>
        <v>&lt;h3&gt; &lt;/h3&gt;</v>
      </c>
      <c r="D74" s="59"/>
      <c r="E74" s="60"/>
      <c r="F74" t="str">
        <f t="shared" si="52"/>
        <v/>
      </c>
      <c r="G74" s="61">
        <f>G67+1</f>
        <v>11</v>
      </c>
      <c r="J74" s="59"/>
      <c r="K74" s="59"/>
      <c r="L74" s="68" t="str">
        <f>CONCATENATE("&lt;h4&gt;",SUBSTITUTE(CONCATENATE(J72," ",J73),"&lt;","&amp;lt;"),"&lt;/h4&gt;")</f>
        <v>&lt;h4&gt;Parámetros Utiles en read_excel() &lt;/h4&gt;</v>
      </c>
      <c r="M74" s="65"/>
      <c r="N74" t="str">
        <f t="shared" si="47"/>
        <v/>
      </c>
      <c r="O74" s="61">
        <f>O67+1</f>
        <v>11</v>
      </c>
      <c r="T74" t="str">
        <f>CONCATENATE("&lt;h5&gt;",R72,"&lt;/h5&gt;")</f>
        <v>&lt;h5&gt;&lt;/h5&gt;</v>
      </c>
      <c r="U74" s="65"/>
      <c r="V74" t="str">
        <f t="shared" si="45"/>
        <v/>
      </c>
      <c r="W74" s="61">
        <f>W67+1</f>
        <v>11</v>
      </c>
      <c r="AB74" t="str">
        <f>CONCATENATE("&lt;",$Y$1,"&gt;",Z72,"&lt;/",$Y$1,"&gt;")</f>
        <v>&lt;h6&gt;df.info()&lt;/h6&gt;</v>
      </c>
      <c r="AC74" s="65"/>
    </row>
    <row r="75" spans="1:29">
      <c r="A75" s="58" t="str">
        <f t="shared" ref="A75:A78" si="53">""</f>
        <v/>
      </c>
      <c r="B75" s="67" t="str">
        <f>IF(B74&lt;&gt;"",IF(B73="",LEFT(B74,LEN(B74)-1),B74),"")</f>
        <v/>
      </c>
      <c r="D75" s="59"/>
      <c r="E75" s="60"/>
      <c r="F75" t="str">
        <f t="shared" si="52"/>
        <v/>
      </c>
      <c r="G75" s="61" t="s">
        <v>189</v>
      </c>
      <c r="J75" s="64"/>
      <c r="K75" t="s">
        <v>2</v>
      </c>
      <c r="L75" t="str">
        <f>IF(J75&lt;&gt;"",CONCATENATE("&lt;p&gt;",J75,"&lt;/p&gt;"),"")</f>
        <v/>
      </c>
      <c r="M75" s="65"/>
      <c r="N75" t="str">
        <f t="shared" si="47"/>
        <v/>
      </c>
      <c r="O75" s="61" t="s">
        <v>189</v>
      </c>
      <c r="R75" s="64"/>
      <c r="S75" t="s">
        <v>2</v>
      </c>
      <c r="T75" t="str">
        <f>IF(R75&lt;&gt;"",R75,"")</f>
        <v/>
      </c>
      <c r="U75" s="65"/>
      <c r="V75" t="str">
        <f t="shared" si="45"/>
        <v/>
      </c>
      <c r="W75" s="61" t="s">
        <v>189</v>
      </c>
      <c r="Z75" s="64"/>
      <c r="AA75" t="s">
        <v>2</v>
      </c>
      <c r="AB75" t="str">
        <f>IF(Z75&lt;&gt;"",Z75,"")</f>
        <v/>
      </c>
      <c r="AC75" s="65"/>
    </row>
    <row r="76" spans="1:29">
      <c r="A76" s="58" t="s">
        <v>189</v>
      </c>
      <c r="B76" s="64"/>
      <c r="C76" t="s">
        <v>117</v>
      </c>
      <c r="D76" s="59"/>
      <c r="E76" s="60"/>
      <c r="F76" t="str">
        <f t="shared" si="52"/>
        <v/>
      </c>
      <c r="G76" s="61" t="str">
        <f t="shared" ref="G76:G78" si="54">""</f>
        <v/>
      </c>
      <c r="L76" t="s">
        <v>117</v>
      </c>
      <c r="M76" s="65"/>
      <c r="N76" t="str">
        <f t="shared" si="47"/>
        <v/>
      </c>
      <c r="O76" s="61" t="str">
        <f t="shared" ref="O76:O78" si="55">""</f>
        <v/>
      </c>
      <c r="T76" t="s">
        <v>117</v>
      </c>
      <c r="U76" s="65"/>
      <c r="V76" t="str">
        <f t="shared" si="45"/>
        <v/>
      </c>
      <c r="W76" s="61" t="str">
        <f t="shared" ref="W76:W78" si="56">""</f>
        <v/>
      </c>
      <c r="AB76" t="s">
        <v>117</v>
      </c>
      <c r="AC76" s="65"/>
    </row>
    <row r="77" ht="14.55" spans="1:29">
      <c r="A77" s="69" t="str">
        <f t="shared" si="53"/>
        <v/>
      </c>
      <c r="C77" s="49" t="str">
        <f>CONCATENATE("&lt;!-- ",CONCATENATE(B72," ",B73," fin")," --&gt;")</f>
        <v>&lt;!--   fin --&gt;</v>
      </c>
      <c r="D77" s="70"/>
      <c r="E77" s="71"/>
      <c r="F77" t="str">
        <f t="shared" si="52"/>
        <v/>
      </c>
      <c r="G77" s="72" t="str">
        <f t="shared" si="54"/>
        <v/>
      </c>
      <c r="H77" s="49"/>
      <c r="I77" s="49"/>
      <c r="J77" s="49"/>
      <c r="K77" s="49"/>
      <c r="L77" s="49" t="str">
        <f>CONCATENATE("&lt;!-- ",CONCATENATE(J72," ",J73," fin")," --&gt;")</f>
        <v>&lt;!-- Parámetros Utiles en read_excel()  fin --&gt;</v>
      </c>
      <c r="M77" s="73"/>
      <c r="N77" t="str">
        <f t="shared" si="47"/>
        <v/>
      </c>
      <c r="O77" s="72" t="str">
        <f t="shared" si="55"/>
        <v/>
      </c>
      <c r="P77" s="49"/>
      <c r="Q77" s="49"/>
      <c r="R77" s="49"/>
      <c r="S77" s="49"/>
      <c r="T77" s="49" t="str">
        <f>CONCATENATE("&lt;!-- ",R72," fin --&gt;")</f>
        <v>&lt;!--  fin --&gt;</v>
      </c>
      <c r="U77" s="73"/>
      <c r="V77" t="str">
        <f t="shared" si="45"/>
        <v/>
      </c>
      <c r="W77" s="72" t="str">
        <f t="shared" si="56"/>
        <v/>
      </c>
      <c r="X77" s="49"/>
      <c r="Y77" s="49"/>
      <c r="Z77" s="49"/>
      <c r="AA77" s="49"/>
      <c r="AB77" s="49" t="str">
        <f>CONCATENATE("&lt;!-- ",Z72," fin --&gt;")</f>
        <v>&lt;!-- df.info() fin --&gt;</v>
      </c>
      <c r="AC77" s="73"/>
    </row>
    <row r="78" ht="14.55" spans="1:29">
      <c r="A78" s="74" t="str">
        <f t="shared" si="53"/>
        <v/>
      </c>
      <c r="B78" s="52"/>
      <c r="C78" s="49" t="str">
        <f>""</f>
        <v/>
      </c>
      <c r="D78" s="49"/>
      <c r="E78" s="49"/>
      <c r="F78" t="str">
        <f t="shared" si="52"/>
        <v/>
      </c>
      <c r="G78" s="61" t="str">
        <f t="shared" si="54"/>
        <v/>
      </c>
      <c r="H78" s="75"/>
      <c r="I78" s="75"/>
      <c r="J78" s="52"/>
      <c r="K78" s="55"/>
      <c r="L78" s="49" t="str">
        <f>""</f>
        <v/>
      </c>
      <c r="N78" t="str">
        <f t="shared" si="47"/>
        <v/>
      </c>
      <c r="O78" s="54" t="str">
        <f t="shared" si="55"/>
        <v/>
      </c>
      <c r="P78" s="55"/>
      <c r="Q78" s="55"/>
      <c r="R78" s="52"/>
      <c r="S78" s="55"/>
      <c r="T78" s="49" t="str">
        <f>""</f>
        <v/>
      </c>
      <c r="V78" t="str">
        <f t="shared" si="45"/>
        <v/>
      </c>
      <c r="W78" s="54" t="str">
        <f t="shared" si="56"/>
        <v/>
      </c>
      <c r="X78" s="55"/>
      <c r="Y78" s="55"/>
      <c r="Z78" s="52"/>
      <c r="AA78" s="55"/>
      <c r="AB78" s="49" t="str">
        <f>""</f>
        <v/>
      </c>
    </row>
    <row r="79" spans="1:29">
      <c r="A79" s="50" t="str">
        <f>CONCATENATE("Título ",A81)</f>
        <v>Título 12</v>
      </c>
      <c r="B79" s="57"/>
      <c r="C79" s="51" t="str">
        <f>CONCATENATE("&lt;!-- ",CONCATENATE(B79," ",B80)," --&gt;")</f>
        <v>&lt;!--   --&gt;</v>
      </c>
      <c r="D79" s="52"/>
      <c r="E79" s="53" t="str">
        <f>""</f>
        <v/>
      </c>
      <c r="F79" t="str">
        <f t="shared" ref="F79:F85" si="57">""</f>
        <v/>
      </c>
      <c r="G79" s="54" t="str">
        <f>CONCATENATE("Título ",G81)</f>
        <v>Título 12</v>
      </c>
      <c r="H79" s="55"/>
      <c r="I79" s="55"/>
      <c r="J79" s="57" t="s">
        <v>215</v>
      </c>
      <c r="K79" s="55" t="s">
        <v>2</v>
      </c>
      <c r="L79" s="51" t="str">
        <f>CONCATENATE("&lt;!-- ",CONCATENATE(J79," ",J80)," --&gt;")</f>
        <v>&lt;!-- Verificar los Datos Importados  --&gt;</v>
      </c>
      <c r="M79" s="56"/>
      <c r="N79" t="str">
        <f t="shared" si="47"/>
        <v/>
      </c>
      <c r="O79" s="54" t="str">
        <f>G79</f>
        <v>Título 12</v>
      </c>
      <c r="P79" s="55"/>
      <c r="Q79" s="55"/>
      <c r="R79" s="57"/>
      <c r="S79" s="55"/>
      <c r="T79" s="55" t="str">
        <f>CONCATENATE("&lt;!-- ",R79," --&gt;")</f>
        <v>&lt;!--  --&gt;</v>
      </c>
      <c r="U79" s="56"/>
      <c r="V79" t="str">
        <f t="shared" si="45"/>
        <v/>
      </c>
      <c r="W79" s="54" t="str">
        <f>O79</f>
        <v>Título 12</v>
      </c>
      <c r="X79" s="55"/>
      <c r="Y79" s="55"/>
      <c r="Z79" s="57" t="s">
        <v>216</v>
      </c>
      <c r="AA79" s="55"/>
      <c r="AB79" s="55" t="str">
        <f>CONCATENATE("&lt;!-- ",Z79," --&gt;")</f>
        <v>&lt;!-- df.describe() --&gt;</v>
      </c>
      <c r="AC79" s="56"/>
    </row>
    <row r="80" ht="14.4" spans="1:29">
      <c r="A80" s="58" t="s">
        <v>186</v>
      </c>
      <c r="C80" t="str">
        <f>IF(B81&lt;&gt;"",CONCATENATE("&lt;div id=",Comilla,B82,Comilla,"&gt;"),"")</f>
        <v/>
      </c>
      <c r="D80" s="59"/>
      <c r="E80" s="60" t="str">
        <f>CONCATENATE(" &lt;a href=",Comilla,"#",B82,Comilla," class=",Comilla,"submenu-item",Comilla,"&gt;",B79,"&lt;/a&gt;")</f>
        <v> &lt;a href="#" class="submenu-item"&gt;&lt;/a&gt;</v>
      </c>
      <c r="F80" t="str">
        <f t="shared" si="57"/>
        <v/>
      </c>
      <c r="G80" s="61" t="s">
        <v>186</v>
      </c>
      <c r="H80" s="62" t="s">
        <v>187</v>
      </c>
      <c r="I80" s="63" t="s">
        <v>188</v>
      </c>
      <c r="J80" s="64"/>
      <c r="L80" t="str">
        <f>IF(J79&lt;&gt;"","&lt;div&gt;","")</f>
        <v>&lt;div&gt;</v>
      </c>
      <c r="M80" s="65"/>
      <c r="N80" t="str">
        <f t="shared" si="47"/>
        <v/>
      </c>
      <c r="O80" s="61" t="s">
        <v>186</v>
      </c>
      <c r="P80" s="62" t="s">
        <v>187</v>
      </c>
      <c r="Q80" s="63" t="s">
        <v>188</v>
      </c>
      <c r="T80" t="str">
        <f>CONCATENATE(P80,R80,Q80)</f>
        <v>&lt;div &gt;</v>
      </c>
      <c r="U80" s="65"/>
      <c r="V80" t="str">
        <f t="shared" si="45"/>
        <v/>
      </c>
      <c r="W80" s="61" t="s">
        <v>186</v>
      </c>
      <c r="X80" s="62" t="s">
        <v>187</v>
      </c>
      <c r="Y80" s="63" t="s">
        <v>188</v>
      </c>
      <c r="AB80" t="str">
        <f>CONCATENATE(X80,Z80,Y80)</f>
        <v>&lt;div &gt;</v>
      </c>
      <c r="AC80" s="65"/>
    </row>
    <row r="81" spans="1:29">
      <c r="A81" s="66">
        <f>A74+1</f>
        <v>12</v>
      </c>
      <c r="B81" s="67" t="str">
        <f>IF(B79="","",SUBSTITUTE(SUBSTITUTE(SUBSTITUTE(SUBSTITUTE(SUBSTITUTE(SUBSTITUTE(SUBSTITUTE(SUBSTITUTE(LOWER(CONCATENATE(B79," ",B80))," ","-"),"&lt;",""),"&gt;",""),"ó","o"),"?",""),"¿",""),"é","e"),"á","a"))</f>
        <v/>
      </c>
      <c r="C81" s="68" t="str">
        <f>CONCATENATE("&lt;h3&gt;",SUBSTITUTE(CONCATENATE(B79," ",B80),"&lt;","&amp;lt;"),"&lt;/h3&gt;")</f>
        <v>&lt;h3&gt; &lt;/h3&gt;</v>
      </c>
      <c r="D81" s="59"/>
      <c r="E81" s="60"/>
      <c r="F81" t="str">
        <f t="shared" si="57"/>
        <v/>
      </c>
      <c r="G81" s="61">
        <f>G74+1</f>
        <v>12</v>
      </c>
      <c r="J81" s="59"/>
      <c r="K81" s="59"/>
      <c r="L81" s="68" t="str">
        <f>CONCATENATE("&lt;h4&gt;",SUBSTITUTE(CONCATENATE(J79," ",J80),"&lt;","&amp;lt;"),"&lt;/h4&gt;")</f>
        <v>&lt;h4&gt;Verificar los Datos Importados &lt;/h4&gt;</v>
      </c>
      <c r="M81" s="65"/>
      <c r="N81" t="str">
        <f t="shared" si="47"/>
        <v/>
      </c>
      <c r="O81" s="61">
        <f>O74+1</f>
        <v>12</v>
      </c>
      <c r="T81" t="str">
        <f>CONCATENATE("&lt;h5&gt;",R79,"&lt;/h5&gt;")</f>
        <v>&lt;h5&gt;&lt;/h5&gt;</v>
      </c>
      <c r="U81" s="65"/>
      <c r="V81" t="str">
        <f t="shared" si="45"/>
        <v/>
      </c>
      <c r="W81" s="61">
        <f>W74+1</f>
        <v>12</v>
      </c>
      <c r="AB81" t="str">
        <f>CONCATENATE("&lt;",$Y$1,"&gt;",Z79,"&lt;/",$Y$1,"&gt;")</f>
        <v>&lt;h6&gt;df.describe()&lt;/h6&gt;</v>
      </c>
      <c r="AC81" s="65"/>
    </row>
    <row r="82" spans="1:29">
      <c r="A82" s="58" t="str">
        <f t="shared" ref="A82:A85" si="58">""</f>
        <v/>
      </c>
      <c r="B82" s="67" t="str">
        <f>IF(B81&lt;&gt;"",IF(B80="",LEFT(B81,LEN(B81)-1),B81),"")</f>
        <v/>
      </c>
      <c r="D82" s="59"/>
      <c r="E82" s="60"/>
      <c r="F82" t="str">
        <f t="shared" si="57"/>
        <v/>
      </c>
      <c r="G82" s="61" t="s">
        <v>189</v>
      </c>
      <c r="J82" s="64"/>
      <c r="K82" t="s">
        <v>2</v>
      </c>
      <c r="L82" t="str">
        <f>IF(J82&lt;&gt;"",CONCATENATE("&lt;p&gt;",J82,"&lt;/p&gt;"),"")</f>
        <v/>
      </c>
      <c r="M82" s="65"/>
      <c r="N82" t="str">
        <f t="shared" si="47"/>
        <v/>
      </c>
      <c r="O82" s="61" t="s">
        <v>189</v>
      </c>
      <c r="R82" s="64"/>
      <c r="S82" t="s">
        <v>2</v>
      </c>
      <c r="T82" t="str">
        <f>IF(R82&lt;&gt;"",R82,"")</f>
        <v/>
      </c>
      <c r="U82" s="65"/>
      <c r="V82" t="str">
        <f t="shared" si="45"/>
        <v/>
      </c>
      <c r="W82" s="61" t="s">
        <v>189</v>
      </c>
      <c r="Z82" s="64"/>
      <c r="AA82" t="s">
        <v>2</v>
      </c>
      <c r="AB82" t="str">
        <f>IF(Z82&lt;&gt;"",Z82,"")</f>
        <v/>
      </c>
      <c r="AC82" s="65"/>
    </row>
    <row r="83" spans="1:29">
      <c r="A83" s="58" t="s">
        <v>189</v>
      </c>
      <c r="B83" s="64"/>
      <c r="C83" t="s">
        <v>117</v>
      </c>
      <c r="D83" s="59"/>
      <c r="E83" s="60"/>
      <c r="F83" t="str">
        <f t="shared" si="57"/>
        <v/>
      </c>
      <c r="G83" s="61" t="str">
        <f t="shared" ref="G83:G85" si="59">""</f>
        <v/>
      </c>
      <c r="L83" t="s">
        <v>117</v>
      </c>
      <c r="M83" s="65"/>
      <c r="N83" t="str">
        <f t="shared" si="47"/>
        <v/>
      </c>
      <c r="O83" s="61" t="str">
        <f t="shared" ref="O83:O85" si="60">""</f>
        <v/>
      </c>
      <c r="T83" t="s">
        <v>117</v>
      </c>
      <c r="U83" s="65"/>
      <c r="V83" t="str">
        <f t="shared" si="45"/>
        <v/>
      </c>
      <c r="W83" s="61" t="str">
        <f t="shared" ref="W83:W85" si="61">""</f>
        <v/>
      </c>
      <c r="AB83" t="s">
        <v>117</v>
      </c>
      <c r="AC83" s="65"/>
    </row>
    <row r="84" ht="14.55" spans="1:29">
      <c r="A84" s="69" t="str">
        <f t="shared" si="58"/>
        <v/>
      </c>
      <c r="C84" s="49" t="str">
        <f>CONCATENATE("&lt;!-- ",CONCATENATE(B79," ",B80," fin")," --&gt;")</f>
        <v>&lt;!--   fin --&gt;</v>
      </c>
      <c r="D84" s="70"/>
      <c r="E84" s="71"/>
      <c r="F84" t="str">
        <f t="shared" si="57"/>
        <v/>
      </c>
      <c r="G84" s="72" t="str">
        <f t="shared" si="59"/>
        <v/>
      </c>
      <c r="H84" s="49"/>
      <c r="I84" s="49"/>
      <c r="J84" s="49"/>
      <c r="K84" s="49"/>
      <c r="L84" s="49" t="str">
        <f>CONCATENATE("&lt;!-- ",CONCATENATE(J79," ",J80," fin")," --&gt;")</f>
        <v>&lt;!-- Verificar los Datos Importados  fin --&gt;</v>
      </c>
      <c r="M84" s="73"/>
      <c r="N84" t="str">
        <f t="shared" si="47"/>
        <v/>
      </c>
      <c r="O84" s="72" t="str">
        <f t="shared" si="60"/>
        <v/>
      </c>
      <c r="P84" s="49"/>
      <c r="Q84" s="49"/>
      <c r="R84" s="49"/>
      <c r="S84" s="49"/>
      <c r="T84" s="49" t="str">
        <f>CONCATENATE("&lt;!-- ",R79," fin --&gt;")</f>
        <v>&lt;!--  fin --&gt;</v>
      </c>
      <c r="U84" s="73"/>
      <c r="V84" t="str">
        <f t="shared" si="45"/>
        <v/>
      </c>
      <c r="W84" s="72" t="str">
        <f t="shared" si="61"/>
        <v/>
      </c>
      <c r="X84" s="49"/>
      <c r="Y84" s="49"/>
      <c r="Z84" s="49"/>
      <c r="AA84" s="49"/>
      <c r="AB84" s="49" t="str">
        <f>CONCATENATE("&lt;!-- ",Z79," fin --&gt;")</f>
        <v>&lt;!-- df.describe() fin --&gt;</v>
      </c>
      <c r="AC84" s="73"/>
    </row>
    <row r="85" ht="14.55" spans="1:29">
      <c r="A85" s="74" t="str">
        <f t="shared" si="58"/>
        <v/>
      </c>
      <c r="B85" s="52"/>
      <c r="C85" s="49" t="str">
        <f>""</f>
        <v/>
      </c>
      <c r="D85" s="49"/>
      <c r="E85" s="49"/>
      <c r="F85" t="str">
        <f t="shared" si="57"/>
        <v/>
      </c>
      <c r="G85" s="61" t="str">
        <f t="shared" si="59"/>
        <v/>
      </c>
      <c r="H85" s="75"/>
      <c r="I85" s="75"/>
      <c r="J85" s="52"/>
      <c r="K85" s="55"/>
      <c r="L85" s="49" t="str">
        <f>""</f>
        <v/>
      </c>
      <c r="N85" t="str">
        <f t="shared" si="47"/>
        <v/>
      </c>
      <c r="O85" s="54" t="str">
        <f t="shared" si="60"/>
        <v/>
      </c>
      <c r="P85" s="55"/>
      <c r="Q85" s="55"/>
      <c r="R85" s="52"/>
      <c r="S85" s="55"/>
      <c r="T85" s="49" t="str">
        <f>""</f>
        <v/>
      </c>
      <c r="V85" t="str">
        <f t="shared" si="45"/>
        <v/>
      </c>
      <c r="W85" s="54" t="str">
        <f t="shared" si="61"/>
        <v/>
      </c>
      <c r="X85" s="55"/>
      <c r="Y85" s="55"/>
      <c r="Z85" s="52"/>
      <c r="AA85" s="55"/>
      <c r="AB85" s="49" t="str">
        <f>""</f>
        <v/>
      </c>
    </row>
    <row r="86" spans="1:29">
      <c r="A86" s="50" t="str">
        <f>CONCATENATE("Título ",A88)</f>
        <v>Título 13</v>
      </c>
      <c r="B86" s="57"/>
      <c r="C86" s="51" t="str">
        <f>CONCATENATE("&lt;!-- ",CONCATENATE(B86," ",B87)," --&gt;")</f>
        <v>&lt;!--   --&gt;</v>
      </c>
      <c r="D86" s="52"/>
      <c r="E86" s="53" t="str">
        <f>""</f>
        <v/>
      </c>
      <c r="F86" t="str">
        <f t="shared" ref="F86:F92" si="62">""</f>
        <v/>
      </c>
      <c r="G86" s="54" t="str">
        <f>CONCATENATE("Título ",G88)</f>
        <v>Título 13</v>
      </c>
      <c r="H86" s="55"/>
      <c r="I86" s="55"/>
      <c r="J86" s="57" t="s">
        <v>217</v>
      </c>
      <c r="K86" s="55" t="s">
        <v>2</v>
      </c>
      <c r="L86" s="51" t="str">
        <f>CONCATENATE("&lt;!-- ",CONCATENATE(J86," ",J87)," --&gt;")</f>
        <v>&lt;!-- Archivos de Texto Plano (.txt)  --&gt;</v>
      </c>
      <c r="M86" s="56"/>
      <c r="N86" t="str">
        <f t="shared" si="47"/>
        <v/>
      </c>
      <c r="O86" s="54" t="str">
        <f>G86</f>
        <v>Título 13</v>
      </c>
      <c r="P86" s="55"/>
      <c r="Q86" s="55"/>
      <c r="R86" s="57"/>
      <c r="S86" s="55"/>
      <c r="T86" s="55" t="str">
        <f>CONCATENATE("&lt;!-- ",R86," --&gt;")</f>
        <v>&lt;!--  --&gt;</v>
      </c>
      <c r="U86" s="56"/>
      <c r="V86" t="str">
        <f t="shared" si="45"/>
        <v/>
      </c>
      <c r="W86" s="54" t="str">
        <f>O86</f>
        <v>Título 13</v>
      </c>
      <c r="X86" s="55"/>
      <c r="Y86" s="55"/>
      <c r="Z86" s="57" t="s">
        <v>218</v>
      </c>
      <c r="AA86" s="55"/>
      <c r="AB86" s="55" t="str">
        <f>CONCATENATE("&lt;!-- ",Z86," --&gt;")</f>
        <v>&lt;!-- df.shape() --&gt;</v>
      </c>
      <c r="AC86" s="56"/>
    </row>
    <row r="87" ht="14.4" spans="1:29">
      <c r="A87" s="58" t="s">
        <v>186</v>
      </c>
      <c r="C87" t="str">
        <f>IF(B88&lt;&gt;"",CONCATENATE("&lt;div id=",Comilla,B89,Comilla,"&gt;"),"")</f>
        <v/>
      </c>
      <c r="D87" s="59"/>
      <c r="E87" s="60" t="str">
        <f>CONCATENATE(" &lt;a href=",Comilla,"#",B89,Comilla," class=",Comilla,"submenu-item",Comilla,"&gt;",B86,"&lt;/a&gt;")</f>
        <v> &lt;a href="#" class="submenu-item"&gt;&lt;/a&gt;</v>
      </c>
      <c r="F87" t="str">
        <f t="shared" si="62"/>
        <v/>
      </c>
      <c r="G87" s="61" t="s">
        <v>186</v>
      </c>
      <c r="H87" s="62" t="s">
        <v>187</v>
      </c>
      <c r="I87" s="63" t="s">
        <v>188</v>
      </c>
      <c r="J87" s="64"/>
      <c r="L87" t="str">
        <f>IF(J86&lt;&gt;"","&lt;div&gt;","")</f>
        <v>&lt;div&gt;</v>
      </c>
      <c r="M87" s="65"/>
      <c r="N87" t="str">
        <f t="shared" si="47"/>
        <v/>
      </c>
      <c r="O87" s="61" t="s">
        <v>186</v>
      </c>
      <c r="P87" s="62" t="s">
        <v>187</v>
      </c>
      <c r="Q87" s="63" t="s">
        <v>188</v>
      </c>
      <c r="T87" t="str">
        <f>CONCATENATE(P87,R87,Q87)</f>
        <v>&lt;div &gt;</v>
      </c>
      <c r="U87" s="65"/>
      <c r="V87" t="str">
        <f t="shared" si="45"/>
        <v/>
      </c>
      <c r="W87" s="61" t="s">
        <v>186</v>
      </c>
      <c r="X87" s="62" t="s">
        <v>187</v>
      </c>
      <c r="Y87" s="63" t="s">
        <v>188</v>
      </c>
      <c r="AB87" t="str">
        <f>CONCATENATE(X87,Z87,Y87)</f>
        <v>&lt;div &gt;</v>
      </c>
      <c r="AC87" s="65"/>
    </row>
    <row r="88" spans="1:29">
      <c r="A88" s="66">
        <f>A81+1</f>
        <v>13</v>
      </c>
      <c r="B88" s="67" t="str">
        <f>IF(B86="","",SUBSTITUTE(SUBSTITUTE(SUBSTITUTE(SUBSTITUTE(SUBSTITUTE(SUBSTITUTE(SUBSTITUTE(SUBSTITUTE(LOWER(CONCATENATE(B86," ",B87))," ","-"),"&lt;",""),"&gt;",""),"ó","o"),"?",""),"¿",""),"é","e"),"á","a"))</f>
        <v/>
      </c>
      <c r="C88" s="68" t="str">
        <f>CONCATENATE("&lt;h3&gt;",SUBSTITUTE(CONCATENATE(B86," ",B87),"&lt;","&amp;lt;"),"&lt;/h3&gt;")</f>
        <v>&lt;h3&gt; &lt;/h3&gt;</v>
      </c>
      <c r="D88" s="59"/>
      <c r="E88" s="60"/>
      <c r="F88" t="str">
        <f t="shared" si="62"/>
        <v/>
      </c>
      <c r="G88" s="61">
        <f>G81+1</f>
        <v>13</v>
      </c>
      <c r="J88" s="59"/>
      <c r="K88" s="59"/>
      <c r="L88" s="68" t="str">
        <f>CONCATENATE("&lt;h4&gt;",SUBSTITUTE(CONCATENATE(J86," ",J87),"&lt;","&amp;lt;"),"&lt;/h4&gt;")</f>
        <v>&lt;h4&gt;Archivos de Texto Plano (.txt) &lt;/h4&gt;</v>
      </c>
      <c r="M88" s="65"/>
      <c r="N88" t="str">
        <f t="shared" si="47"/>
        <v/>
      </c>
      <c r="O88" s="61">
        <f>O81+1</f>
        <v>13</v>
      </c>
      <c r="T88" t="str">
        <f>CONCATENATE("&lt;h5&gt;",R86,"&lt;/h5&gt;")</f>
        <v>&lt;h5&gt;&lt;/h5&gt;</v>
      </c>
      <c r="U88" s="65"/>
      <c r="V88" t="str">
        <f t="shared" si="45"/>
        <v/>
      </c>
      <c r="W88" s="61">
        <f>W81+1</f>
        <v>13</v>
      </c>
      <c r="AB88" t="str">
        <f>CONCATENATE("&lt;",$Y$1,"&gt;",Z86,"&lt;/",$Y$1,"&gt;")</f>
        <v>&lt;h6&gt;df.shape()&lt;/h6&gt;</v>
      </c>
      <c r="AC88" s="65"/>
    </row>
    <row r="89" spans="1:29">
      <c r="A89" s="58" t="str">
        <f t="shared" ref="A89:A92" si="63">""</f>
        <v/>
      </c>
      <c r="B89" s="67" t="str">
        <f>IF(B88&lt;&gt;"",IF(B87="",LEFT(B88,LEN(B88)-1),B88),"")</f>
        <v/>
      </c>
      <c r="D89" s="59"/>
      <c r="E89" s="60"/>
      <c r="F89" t="str">
        <f t="shared" si="62"/>
        <v/>
      </c>
      <c r="G89" s="61" t="s">
        <v>189</v>
      </c>
      <c r="J89" s="64"/>
      <c r="K89" t="s">
        <v>2</v>
      </c>
      <c r="L89" t="str">
        <f>IF(J89&lt;&gt;"",CONCATENATE("&lt;p&gt;",J89,"&lt;/p&gt;"),"")</f>
        <v/>
      </c>
      <c r="M89" s="65"/>
      <c r="N89" t="str">
        <f t="shared" si="47"/>
        <v/>
      </c>
      <c r="O89" s="61" t="s">
        <v>189</v>
      </c>
      <c r="R89" s="64"/>
      <c r="S89" t="s">
        <v>2</v>
      </c>
      <c r="T89" t="str">
        <f>IF(R89&lt;&gt;"",R89,"")</f>
        <v/>
      </c>
      <c r="U89" s="65"/>
      <c r="V89" t="str">
        <f t="shared" si="45"/>
        <v/>
      </c>
      <c r="W89" s="61" t="s">
        <v>189</v>
      </c>
      <c r="Z89" s="64"/>
      <c r="AA89" t="s">
        <v>2</v>
      </c>
      <c r="AB89" t="str">
        <f>IF(Z89&lt;&gt;"",Z89,"")</f>
        <v/>
      </c>
      <c r="AC89" s="65"/>
    </row>
    <row r="90" spans="1:29">
      <c r="A90" s="58" t="s">
        <v>189</v>
      </c>
      <c r="B90" s="64"/>
      <c r="C90" t="s">
        <v>117</v>
      </c>
      <c r="D90" s="59"/>
      <c r="E90" s="60"/>
      <c r="F90" t="str">
        <f t="shared" si="62"/>
        <v/>
      </c>
      <c r="G90" s="61" t="str">
        <f t="shared" ref="G90:G92" si="64">""</f>
        <v/>
      </c>
      <c r="L90" t="s">
        <v>117</v>
      </c>
      <c r="M90" s="65"/>
      <c r="N90" t="str">
        <f t="shared" si="47"/>
        <v/>
      </c>
      <c r="O90" s="61" t="str">
        <f t="shared" ref="O90:O92" si="65">""</f>
        <v/>
      </c>
      <c r="T90" t="s">
        <v>117</v>
      </c>
      <c r="U90" s="65"/>
      <c r="V90" t="str">
        <f t="shared" si="45"/>
        <v/>
      </c>
      <c r="W90" s="61" t="str">
        <f t="shared" ref="W90:W92" si="66">""</f>
        <v/>
      </c>
      <c r="AB90" t="s">
        <v>117</v>
      </c>
      <c r="AC90" s="65"/>
    </row>
    <row r="91" ht="14.55" spans="1:29">
      <c r="A91" s="69" t="str">
        <f t="shared" si="63"/>
        <v/>
      </c>
      <c r="C91" s="49" t="str">
        <f>CONCATENATE("&lt;!-- ",CONCATENATE(B86," ",B87," fin")," --&gt;")</f>
        <v>&lt;!--   fin --&gt;</v>
      </c>
      <c r="D91" s="70"/>
      <c r="E91" s="71"/>
      <c r="F91" t="str">
        <f t="shared" si="62"/>
        <v/>
      </c>
      <c r="G91" s="72" t="str">
        <f t="shared" si="64"/>
        <v/>
      </c>
      <c r="H91" s="49"/>
      <c r="I91" s="49"/>
      <c r="J91" s="49"/>
      <c r="K91" s="49"/>
      <c r="L91" s="49" t="str">
        <f>CONCATENATE("&lt;!-- ",CONCATENATE(J86," ",J87," fin")," --&gt;")</f>
        <v>&lt;!-- Archivos de Texto Plano (.txt)  fin --&gt;</v>
      </c>
      <c r="M91" s="73"/>
      <c r="N91" t="str">
        <f t="shared" si="47"/>
        <v/>
      </c>
      <c r="O91" s="72" t="str">
        <f t="shared" si="65"/>
        <v/>
      </c>
      <c r="P91" s="49"/>
      <c r="Q91" s="49"/>
      <c r="R91" s="49"/>
      <c r="S91" s="49"/>
      <c r="T91" s="49" t="str">
        <f>CONCATENATE("&lt;!-- ",R86," fin --&gt;")</f>
        <v>&lt;!--  fin --&gt;</v>
      </c>
      <c r="U91" s="73"/>
      <c r="V91" t="str">
        <f t="shared" si="45"/>
        <v/>
      </c>
      <c r="W91" s="72" t="str">
        <f t="shared" si="66"/>
        <v/>
      </c>
      <c r="X91" s="49"/>
      <c r="Y91" s="49"/>
      <c r="Z91" s="49"/>
      <c r="AA91" s="49"/>
      <c r="AB91" s="49" t="str">
        <f>CONCATENATE("&lt;!-- ",Z86," fin --&gt;")</f>
        <v>&lt;!-- df.shape() fin --&gt;</v>
      </c>
      <c r="AC91" s="73"/>
    </row>
    <row r="92" ht="14.55" spans="1:29">
      <c r="A92" s="74" t="str">
        <f t="shared" si="63"/>
        <v/>
      </c>
      <c r="B92" s="52"/>
      <c r="C92" s="49" t="str">
        <f>""</f>
        <v/>
      </c>
      <c r="D92" s="49"/>
      <c r="E92" s="49"/>
      <c r="F92" t="str">
        <f t="shared" si="62"/>
        <v/>
      </c>
      <c r="G92" s="61" t="str">
        <f t="shared" si="64"/>
        <v/>
      </c>
      <c r="H92" s="75"/>
      <c r="I92" s="75"/>
      <c r="J92" s="52"/>
      <c r="K92" s="55"/>
      <c r="L92" s="49" t="str">
        <f>""</f>
        <v/>
      </c>
      <c r="N92" t="str">
        <f t="shared" si="47"/>
        <v/>
      </c>
      <c r="O92" s="54" t="str">
        <f t="shared" si="65"/>
        <v/>
      </c>
      <c r="P92" s="55"/>
      <c r="Q92" s="55"/>
      <c r="R92" s="52"/>
      <c r="S92" s="55"/>
      <c r="T92" s="49" t="str">
        <f>""</f>
        <v/>
      </c>
      <c r="V92" t="str">
        <f t="shared" si="45"/>
        <v/>
      </c>
      <c r="W92" s="54" t="str">
        <f t="shared" si="66"/>
        <v/>
      </c>
      <c r="X92" s="55"/>
      <c r="Y92" s="55"/>
      <c r="Z92" s="52"/>
      <c r="AA92" s="55"/>
      <c r="AB92" s="49" t="str">
        <f>""</f>
        <v/>
      </c>
    </row>
    <row r="93" spans="1:29">
      <c r="A93" s="50" t="str">
        <f>CONCATENATE("Título ",A95)</f>
        <v>Título 14</v>
      </c>
      <c r="B93" s="57"/>
      <c r="C93" s="51" t="str">
        <f>CONCATENATE("&lt;!-- ",CONCATENATE(B93," ",B94)," --&gt;")</f>
        <v>&lt;!--   --&gt;</v>
      </c>
      <c r="D93" s="52"/>
      <c r="E93" s="53" t="str">
        <f>""</f>
        <v/>
      </c>
      <c r="F93" t="str">
        <f t="shared" ref="F93:F99" si="67">""</f>
        <v/>
      </c>
      <c r="G93" s="54" t="str">
        <f>CONCATENATE("Título ",G95)</f>
        <v>Título 14</v>
      </c>
      <c r="H93" s="55"/>
      <c r="I93" s="55"/>
      <c r="J93" s="57" t="s">
        <v>219</v>
      </c>
      <c r="K93" s="55" t="s">
        <v>2</v>
      </c>
      <c r="L93" s="51" t="str">
        <f>CONCATENATE("&lt;!-- ",CONCATENATE(J93," ",J94)," --&gt;")</f>
        <v>&lt;!-- Archivos JSON (JavaScript Object Notation)  --&gt;</v>
      </c>
      <c r="M93" s="56"/>
      <c r="N93" t="str">
        <f t="shared" si="47"/>
        <v/>
      </c>
      <c r="O93" s="54" t="str">
        <f>G93</f>
        <v>Título 14</v>
      </c>
      <c r="P93" s="55"/>
      <c r="Q93" s="55"/>
      <c r="R93" s="57"/>
      <c r="S93" s="55"/>
      <c r="T93" s="55" t="str">
        <f>CONCATENATE("&lt;!-- ",R93," --&gt;")</f>
        <v>&lt;!--  --&gt;</v>
      </c>
      <c r="U93" s="56"/>
      <c r="V93" t="str">
        <f t="shared" si="45"/>
        <v/>
      </c>
      <c r="W93" s="54" t="str">
        <f>O93</f>
        <v>Título 14</v>
      </c>
      <c r="X93" s="55"/>
      <c r="Y93" s="55"/>
      <c r="Z93" s="57"/>
      <c r="AA93" s="55"/>
      <c r="AB93" s="55" t="str">
        <f>CONCATENATE("&lt;!-- ",Z93," --&gt;")</f>
        <v>&lt;!--  --&gt;</v>
      </c>
      <c r="AC93" s="56"/>
    </row>
    <row r="94" ht="14.4" spans="1:29">
      <c r="A94" s="58" t="s">
        <v>186</v>
      </c>
      <c r="C94" t="str">
        <f>IF(B95&lt;&gt;"",CONCATENATE("&lt;div id=",Comilla,B96,Comilla,"&gt;"),"")</f>
        <v/>
      </c>
      <c r="D94" s="59"/>
      <c r="E94" s="60" t="str">
        <f>CONCATENATE(" &lt;a href=",Comilla,"#",B96,Comilla," class=",Comilla,"submenu-item",Comilla,"&gt;",B93,"&lt;/a&gt;")</f>
        <v> &lt;a href="#" class="submenu-item"&gt;&lt;/a&gt;</v>
      </c>
      <c r="F94" t="str">
        <f t="shared" si="67"/>
        <v/>
      </c>
      <c r="G94" s="61" t="s">
        <v>186</v>
      </c>
      <c r="H94" s="62" t="s">
        <v>187</v>
      </c>
      <c r="I94" s="63" t="s">
        <v>188</v>
      </c>
      <c r="J94" s="64"/>
      <c r="L94" t="str">
        <f>IF(J93&lt;&gt;"","&lt;div&gt;","")</f>
        <v>&lt;div&gt;</v>
      </c>
      <c r="M94" s="65"/>
      <c r="N94" t="str">
        <f t="shared" si="47"/>
        <v/>
      </c>
      <c r="O94" s="61" t="s">
        <v>186</v>
      </c>
      <c r="P94" s="62" t="s">
        <v>187</v>
      </c>
      <c r="Q94" s="63" t="s">
        <v>188</v>
      </c>
      <c r="T94" t="str">
        <f>CONCATENATE(P94,R94,Q94)</f>
        <v>&lt;div &gt;</v>
      </c>
      <c r="U94" s="65"/>
      <c r="V94" t="str">
        <f t="shared" si="45"/>
        <v/>
      </c>
      <c r="W94" s="61" t="s">
        <v>186</v>
      </c>
      <c r="X94" s="62" t="s">
        <v>187</v>
      </c>
      <c r="Y94" s="63" t="s">
        <v>188</v>
      </c>
      <c r="AB94" t="str">
        <f>CONCATENATE(X94,Z94,Y94)</f>
        <v>&lt;div &gt;</v>
      </c>
      <c r="AC94" s="65"/>
    </row>
    <row r="95" spans="1:29">
      <c r="A95" s="66">
        <f>A88+1</f>
        <v>14</v>
      </c>
      <c r="B95" s="67" t="str">
        <f>IF(B93="","",SUBSTITUTE(SUBSTITUTE(SUBSTITUTE(SUBSTITUTE(SUBSTITUTE(SUBSTITUTE(SUBSTITUTE(SUBSTITUTE(LOWER(CONCATENATE(B93," ",B94))," ","-"),"&lt;",""),"&gt;",""),"ó","o"),"?",""),"¿",""),"é","e"),"á","a"))</f>
        <v/>
      </c>
      <c r="C95" s="68" t="str">
        <f>CONCATENATE("&lt;h3&gt;",SUBSTITUTE(CONCATENATE(B93," ",B94),"&lt;","&amp;lt;"),"&lt;/h3&gt;")</f>
        <v>&lt;h3&gt; &lt;/h3&gt;</v>
      </c>
      <c r="D95" s="59"/>
      <c r="E95" s="60"/>
      <c r="F95" t="str">
        <f t="shared" si="67"/>
        <v/>
      </c>
      <c r="G95" s="61">
        <f>G88+1</f>
        <v>14</v>
      </c>
      <c r="J95" s="59"/>
      <c r="K95" s="59"/>
      <c r="L95" s="68" t="str">
        <f>CONCATENATE("&lt;h4&gt;",SUBSTITUTE(CONCATENATE(J93," ",J94),"&lt;","&amp;lt;"),"&lt;/h4&gt;")</f>
        <v>&lt;h4&gt;Archivos JSON (JavaScript Object Notation) &lt;/h4&gt;</v>
      </c>
      <c r="M95" s="65"/>
      <c r="N95" t="str">
        <f t="shared" si="47"/>
        <v/>
      </c>
      <c r="O95" s="61">
        <f>O88+1</f>
        <v>14</v>
      </c>
      <c r="T95" t="str">
        <f>CONCATENATE("&lt;h5&gt;",R93,"&lt;/h5&gt;")</f>
        <v>&lt;h5&gt;&lt;/h5&gt;</v>
      </c>
      <c r="U95" s="65"/>
      <c r="V95" t="str">
        <f t="shared" si="45"/>
        <v/>
      </c>
      <c r="W95" s="61">
        <f>W88+1</f>
        <v>14</v>
      </c>
      <c r="AB95" t="str">
        <f>CONCATENATE("&lt;",$Y$1,"&gt;",Z93,"&lt;/",$Y$1,"&gt;")</f>
        <v>&lt;h6&gt;&lt;/h6&gt;</v>
      </c>
      <c r="AC95" s="65"/>
    </row>
    <row r="96" spans="1:29">
      <c r="A96" s="58" t="str">
        <f t="shared" ref="A96:A99" si="68">""</f>
        <v/>
      </c>
      <c r="B96" s="67" t="str">
        <f>IF(B95&lt;&gt;"",IF(B94="",LEFT(B95,LEN(B95)-1),B95),"")</f>
        <v/>
      </c>
      <c r="D96" s="59"/>
      <c r="E96" s="60"/>
      <c r="F96" t="str">
        <f t="shared" si="67"/>
        <v/>
      </c>
      <c r="G96" s="61" t="s">
        <v>189</v>
      </c>
      <c r="J96" s="64"/>
      <c r="K96" t="s">
        <v>2</v>
      </c>
      <c r="L96" t="str">
        <f>IF(J96&lt;&gt;"",CONCATENATE("&lt;p&gt;",J96,"&lt;/p&gt;"),"")</f>
        <v/>
      </c>
      <c r="M96" s="65"/>
      <c r="N96" t="str">
        <f t="shared" si="47"/>
        <v/>
      </c>
      <c r="O96" s="61" t="s">
        <v>189</v>
      </c>
      <c r="R96" s="64"/>
      <c r="S96" t="s">
        <v>2</v>
      </c>
      <c r="T96" t="str">
        <f>IF(R96&lt;&gt;"",R96,"")</f>
        <v/>
      </c>
      <c r="U96" s="65"/>
      <c r="V96" t="str">
        <f t="shared" si="45"/>
        <v/>
      </c>
      <c r="W96" s="61" t="s">
        <v>189</v>
      </c>
      <c r="Z96" s="64"/>
      <c r="AA96" t="s">
        <v>2</v>
      </c>
      <c r="AB96" t="str">
        <f>IF(Z96&lt;&gt;"",Z96,"")</f>
        <v/>
      </c>
      <c r="AC96" s="65"/>
    </row>
    <row r="97" spans="1:29">
      <c r="A97" s="58" t="s">
        <v>189</v>
      </c>
      <c r="B97" s="64"/>
      <c r="C97" t="s">
        <v>117</v>
      </c>
      <c r="D97" s="59"/>
      <c r="E97" s="60"/>
      <c r="F97" t="str">
        <f t="shared" si="67"/>
        <v/>
      </c>
      <c r="G97" s="61" t="str">
        <f t="shared" ref="G97:G99" si="69">""</f>
        <v/>
      </c>
      <c r="L97" t="s">
        <v>117</v>
      </c>
      <c r="M97" s="65"/>
      <c r="N97" t="str">
        <f t="shared" si="47"/>
        <v/>
      </c>
      <c r="O97" s="61" t="str">
        <f t="shared" ref="O97:O99" si="70">""</f>
        <v/>
      </c>
      <c r="T97" t="s">
        <v>117</v>
      </c>
      <c r="U97" s="65"/>
      <c r="V97" t="str">
        <f t="shared" si="45"/>
        <v/>
      </c>
      <c r="W97" s="61" t="str">
        <f t="shared" ref="W97:W99" si="71">""</f>
        <v/>
      </c>
      <c r="AB97" t="s">
        <v>117</v>
      </c>
      <c r="AC97" s="65"/>
    </row>
    <row r="98" ht="14.55" spans="1:29">
      <c r="A98" s="69" t="str">
        <f t="shared" si="68"/>
        <v/>
      </c>
      <c r="C98" s="49" t="str">
        <f>CONCATENATE("&lt;!-- ",CONCATENATE(B93," ",B94," fin")," --&gt;")</f>
        <v>&lt;!--   fin --&gt;</v>
      </c>
      <c r="D98" s="70"/>
      <c r="E98" s="71"/>
      <c r="F98" t="str">
        <f t="shared" si="67"/>
        <v/>
      </c>
      <c r="G98" s="72" t="str">
        <f t="shared" si="69"/>
        <v/>
      </c>
      <c r="H98" s="49"/>
      <c r="I98" s="49"/>
      <c r="J98" s="49"/>
      <c r="K98" s="49"/>
      <c r="L98" s="49" t="str">
        <f>CONCATENATE("&lt;!-- ",CONCATENATE(J93," ",J94," fin")," --&gt;")</f>
        <v>&lt;!-- Archivos JSON (JavaScript Object Notation)  fin --&gt;</v>
      </c>
      <c r="M98" s="73"/>
      <c r="N98" t="str">
        <f t="shared" si="47"/>
        <v/>
      </c>
      <c r="O98" s="72" t="str">
        <f t="shared" si="70"/>
        <v/>
      </c>
      <c r="P98" s="49"/>
      <c r="Q98" s="49"/>
      <c r="R98" s="49"/>
      <c r="S98" s="49"/>
      <c r="T98" s="49" t="str">
        <f>CONCATENATE("&lt;!-- ",R93," fin --&gt;")</f>
        <v>&lt;!--  fin --&gt;</v>
      </c>
      <c r="U98" s="73"/>
      <c r="V98" t="str">
        <f t="shared" si="45"/>
        <v/>
      </c>
      <c r="W98" s="72" t="str">
        <f t="shared" si="71"/>
        <v/>
      </c>
      <c r="X98" s="49"/>
      <c r="Y98" s="49"/>
      <c r="Z98" s="49"/>
      <c r="AA98" s="49"/>
      <c r="AB98" s="49" t="str">
        <f>CONCATENATE("&lt;!-- ",Z93," fin --&gt;")</f>
        <v>&lt;!--  fin --&gt;</v>
      </c>
      <c r="AC98" s="73"/>
    </row>
    <row r="99" ht="14.55" spans="1:29">
      <c r="A99" s="74" t="str">
        <f t="shared" si="68"/>
        <v/>
      </c>
      <c r="B99" s="52"/>
      <c r="C99" s="49" t="str">
        <f>""</f>
        <v/>
      </c>
      <c r="D99" s="49"/>
      <c r="E99" s="49"/>
      <c r="F99" t="str">
        <f t="shared" si="67"/>
        <v/>
      </c>
      <c r="G99" s="61" t="str">
        <f t="shared" si="69"/>
        <v/>
      </c>
      <c r="H99" s="75"/>
      <c r="I99" s="75"/>
      <c r="J99" s="52"/>
      <c r="K99" s="55"/>
      <c r="L99" s="49" t="str">
        <f>""</f>
        <v/>
      </c>
      <c r="N99" t="str">
        <f t="shared" si="47"/>
        <v/>
      </c>
      <c r="O99" s="54" t="str">
        <f t="shared" si="70"/>
        <v/>
      </c>
      <c r="P99" s="55"/>
      <c r="Q99" s="55"/>
      <c r="R99" s="52"/>
      <c r="S99" s="55"/>
      <c r="T99" s="49" t="str">
        <f>""</f>
        <v/>
      </c>
      <c r="V99" t="str">
        <f t="shared" si="45"/>
        <v/>
      </c>
      <c r="W99" s="54" t="str">
        <f t="shared" si="71"/>
        <v/>
      </c>
      <c r="X99" s="55"/>
      <c r="Y99" s="55"/>
      <c r="Z99" s="52"/>
      <c r="AA99" s="55"/>
      <c r="AB99" s="49" t="str">
        <f>""</f>
        <v/>
      </c>
    </row>
    <row r="100" customFormat="1" spans="1:29">
      <c r="A100" s="50" t="str">
        <f>CONCATENATE("Título ",A102)</f>
        <v>Título 15</v>
      </c>
      <c r="B100" s="57"/>
      <c r="C100" s="51" t="str">
        <f>CONCATENATE("&lt;!-- ",CONCATENATE(B100," ",B101)," --&gt;")</f>
        <v>&lt;!--   --&gt;</v>
      </c>
      <c r="D100" s="52"/>
      <c r="E100" s="53" t="str">
        <f>""</f>
        <v/>
      </c>
      <c r="F100" t="str">
        <f t="shared" ref="F100:F106" si="72">""</f>
        <v/>
      </c>
      <c r="G100" s="54" t="str">
        <f>CONCATENATE("Título ",G102)</f>
        <v>Título 15</v>
      </c>
      <c r="H100" s="55"/>
      <c r="I100" s="55"/>
      <c r="J100" s="57" t="s">
        <v>220</v>
      </c>
      <c r="K100" s="55" t="s">
        <v>2</v>
      </c>
      <c r="L100" s="51" t="str">
        <f>CONCATENATE("&lt;!-- ",CONCATENATE(J100," ",J101)," --&gt;")</f>
        <v>&lt;!-- Bases de Datos SQL  --&gt;</v>
      </c>
      <c r="M100" s="56"/>
      <c r="N100" t="str">
        <f t="shared" si="47"/>
        <v/>
      </c>
      <c r="O100" s="54" t="str">
        <f>G100</f>
        <v>Título 15</v>
      </c>
      <c r="P100" s="55"/>
      <c r="Q100" s="55"/>
      <c r="R100" s="57"/>
      <c r="S100" s="55"/>
      <c r="T100" s="55" t="str">
        <f>CONCATENATE("&lt;!-- ",R100," --&gt;")</f>
        <v>&lt;!--  --&gt;</v>
      </c>
      <c r="U100" s="56"/>
      <c r="V100" t="str">
        <f t="shared" si="45"/>
        <v/>
      </c>
      <c r="W100" s="54" t="str">
        <f>O100</f>
        <v>Título 15</v>
      </c>
      <c r="X100" s="55"/>
      <c r="Y100" s="55"/>
      <c r="Z100" s="57"/>
      <c r="AA100" s="55"/>
      <c r="AB100" s="55" t="str">
        <f>CONCATENATE("&lt;!-- ",Z100," --&gt;")</f>
        <v>&lt;!--  --&gt;</v>
      </c>
      <c r="AC100" s="56"/>
    </row>
    <row r="101" ht="14.4" spans="1:29">
      <c r="A101" s="58" t="s">
        <v>186</v>
      </c>
      <c r="C101" t="str">
        <f>IF(B102&lt;&gt;"",CONCATENATE("&lt;div id=",Comilla,B103,Comilla,"&gt;"),"")</f>
        <v/>
      </c>
      <c r="D101" s="59"/>
      <c r="E101" s="60" t="str">
        <f>CONCATENATE(" &lt;a href=",Comilla,"#",B103,Comilla," class=",Comilla,"submenu-item",Comilla,"&gt;",B100,"&lt;/a&gt;")</f>
        <v> &lt;a href="#" class="submenu-item"&gt;&lt;/a&gt;</v>
      </c>
      <c r="F101" t="str">
        <f t="shared" si="72"/>
        <v/>
      </c>
      <c r="G101" s="61" t="s">
        <v>186</v>
      </c>
      <c r="H101" s="62" t="s">
        <v>187</v>
      </c>
      <c r="I101" s="63" t="s">
        <v>188</v>
      </c>
      <c r="J101" s="64"/>
      <c r="L101" t="str">
        <f>IF(J100&lt;&gt;"","&lt;div&gt;","")</f>
        <v>&lt;div&gt;</v>
      </c>
      <c r="M101" s="65"/>
      <c r="N101" t="str">
        <f t="shared" si="47"/>
        <v/>
      </c>
      <c r="O101" s="61" t="s">
        <v>186</v>
      </c>
      <c r="P101" s="62" t="s">
        <v>187</v>
      </c>
      <c r="Q101" s="63" t="s">
        <v>188</v>
      </c>
      <c r="T101" t="str">
        <f>CONCATENATE(P101,R101,Q101)</f>
        <v>&lt;div &gt;</v>
      </c>
      <c r="U101" s="65"/>
      <c r="V101" t="str">
        <f t="shared" si="45"/>
        <v/>
      </c>
      <c r="W101" s="61" t="s">
        <v>186</v>
      </c>
      <c r="X101" s="62" t="s">
        <v>187</v>
      </c>
      <c r="Y101" s="63" t="s">
        <v>188</v>
      </c>
      <c r="AB101" t="str">
        <f>CONCATENATE(X101,Z101,Y101)</f>
        <v>&lt;div &gt;</v>
      </c>
      <c r="AC101" s="65"/>
    </row>
    <row r="102" spans="1:29">
      <c r="A102" s="66">
        <f>A95+1</f>
        <v>15</v>
      </c>
      <c r="B102" s="67" t="str">
        <f>IF(B100="","",SUBSTITUTE(SUBSTITUTE(SUBSTITUTE(SUBSTITUTE(SUBSTITUTE(SUBSTITUTE(SUBSTITUTE(SUBSTITUTE(LOWER(CONCATENATE(B100," ",B101))," ","-"),"&lt;",""),"&gt;",""),"ó","o"),"?",""),"¿",""),"é","e"),"á","a"))</f>
        <v/>
      </c>
      <c r="C102" s="68" t="str">
        <f>CONCATENATE("&lt;h3&gt;",SUBSTITUTE(CONCATENATE(B100," ",B101),"&lt;","&amp;lt;"),"&lt;/h3&gt;")</f>
        <v>&lt;h3&gt; &lt;/h3&gt;</v>
      </c>
      <c r="D102" s="59"/>
      <c r="E102" s="60"/>
      <c r="F102" t="str">
        <f t="shared" si="72"/>
        <v/>
      </c>
      <c r="G102" s="61">
        <f>G95+1</f>
        <v>15</v>
      </c>
      <c r="J102" s="59"/>
      <c r="K102" s="59"/>
      <c r="L102" s="68" t="str">
        <f>CONCATENATE("&lt;h4&gt;",SUBSTITUTE(CONCATENATE(J100," ",J101),"&lt;","&amp;lt;"),"&lt;/h4&gt;")</f>
        <v>&lt;h4&gt;Bases de Datos SQL &lt;/h4&gt;</v>
      </c>
      <c r="M102" s="65"/>
      <c r="N102" t="str">
        <f t="shared" si="47"/>
        <v/>
      </c>
      <c r="O102" s="61">
        <f>O95+1</f>
        <v>15</v>
      </c>
      <c r="T102" t="str">
        <f>CONCATENATE("&lt;h5&gt;",R100,"&lt;/h5&gt;")</f>
        <v>&lt;h5&gt;&lt;/h5&gt;</v>
      </c>
      <c r="U102" s="65"/>
      <c r="V102" t="str">
        <f t="shared" si="45"/>
        <v/>
      </c>
      <c r="W102" s="61">
        <f>W95+1</f>
        <v>15</v>
      </c>
      <c r="AB102" t="str">
        <f>CONCATENATE("&lt;",$Y$1,"&gt;",Z100,"&lt;/",$Y$1,"&gt;")</f>
        <v>&lt;h6&gt;&lt;/h6&gt;</v>
      </c>
      <c r="AC102" s="65"/>
    </row>
    <row r="103" spans="1:29">
      <c r="A103" s="58" t="str">
        <f t="shared" ref="A103:A106" si="73">""</f>
        <v/>
      </c>
      <c r="B103" s="67" t="str">
        <f>IF(B102&lt;&gt;"",IF(B101="",LEFT(B102,LEN(B102)-1),B102),"")</f>
        <v/>
      </c>
      <c r="D103" s="59"/>
      <c r="E103" s="60"/>
      <c r="F103" t="str">
        <f t="shared" si="72"/>
        <v/>
      </c>
      <c r="G103" s="61" t="s">
        <v>189</v>
      </c>
      <c r="J103" s="64"/>
      <c r="K103" t="s">
        <v>2</v>
      </c>
      <c r="L103" t="str">
        <f>IF(J103&lt;&gt;"",CONCATENATE("&lt;p&gt;",J103,"&lt;/p&gt;"),"")</f>
        <v/>
      </c>
      <c r="M103" s="65"/>
      <c r="N103" t="str">
        <f t="shared" si="47"/>
        <v/>
      </c>
      <c r="O103" s="61" t="s">
        <v>189</v>
      </c>
      <c r="R103" s="64"/>
      <c r="S103" t="s">
        <v>2</v>
      </c>
      <c r="T103" t="str">
        <f>IF(R103&lt;&gt;"",R103,"")</f>
        <v/>
      </c>
      <c r="U103" s="65"/>
      <c r="V103" t="str">
        <f t="shared" si="45"/>
        <v/>
      </c>
      <c r="W103" s="61" t="s">
        <v>189</v>
      </c>
      <c r="Z103" s="64"/>
      <c r="AA103" t="s">
        <v>2</v>
      </c>
      <c r="AB103" t="str">
        <f>IF(Z103&lt;&gt;"",Z103,"")</f>
        <v/>
      </c>
      <c r="AC103" s="65"/>
    </row>
    <row r="104" spans="1:29">
      <c r="A104" s="58" t="s">
        <v>189</v>
      </c>
      <c r="B104" s="64"/>
      <c r="C104" t="s">
        <v>117</v>
      </c>
      <c r="D104" s="59"/>
      <c r="E104" s="60"/>
      <c r="F104" t="str">
        <f t="shared" si="72"/>
        <v/>
      </c>
      <c r="G104" s="61" t="str">
        <f t="shared" ref="G104:G106" si="74">""</f>
        <v/>
      </c>
      <c r="L104" t="s">
        <v>117</v>
      </c>
      <c r="M104" s="65"/>
      <c r="N104" t="str">
        <f t="shared" si="47"/>
        <v/>
      </c>
      <c r="O104" s="61" t="str">
        <f t="shared" ref="O104:O106" si="75">""</f>
        <v/>
      </c>
      <c r="T104" t="s">
        <v>117</v>
      </c>
      <c r="U104" s="65"/>
      <c r="V104" t="str">
        <f t="shared" si="45"/>
        <v/>
      </c>
      <c r="W104" s="61" t="str">
        <f t="shared" ref="W104:W106" si="76">""</f>
        <v/>
      </c>
      <c r="AB104" t="s">
        <v>117</v>
      </c>
      <c r="AC104" s="65"/>
    </row>
    <row r="105" customFormat="1" ht="14.55" spans="1:29">
      <c r="A105" s="69" t="str">
        <f t="shared" si="73"/>
        <v/>
      </c>
      <c r="C105" s="49" t="str">
        <f>CONCATENATE("&lt;!-- ",CONCATENATE(B100," ",B101," fin")," --&gt;")</f>
        <v>&lt;!--   fin --&gt;</v>
      </c>
      <c r="D105" s="70"/>
      <c r="E105" s="71"/>
      <c r="F105" t="str">
        <f t="shared" si="72"/>
        <v/>
      </c>
      <c r="G105" s="72" t="str">
        <f t="shared" si="74"/>
        <v/>
      </c>
      <c r="H105" s="49"/>
      <c r="I105" s="49"/>
      <c r="J105" s="49"/>
      <c r="K105" s="49"/>
      <c r="L105" s="49" t="str">
        <f>CONCATENATE("&lt;!-- ",CONCATENATE(J100," ",J101," fin")," --&gt;")</f>
        <v>&lt;!-- Bases de Datos SQL  fin --&gt;</v>
      </c>
      <c r="M105" s="73"/>
      <c r="N105" t="str">
        <f t="shared" si="47"/>
        <v/>
      </c>
      <c r="O105" s="72" t="str">
        <f t="shared" si="75"/>
        <v/>
      </c>
      <c r="P105" s="49"/>
      <c r="Q105" s="49"/>
      <c r="R105" s="49"/>
      <c r="S105" s="49"/>
      <c r="T105" s="49" t="str">
        <f>CONCATENATE("&lt;!-- ",R100," fin --&gt;")</f>
        <v>&lt;!--  fin --&gt;</v>
      </c>
      <c r="U105" s="73"/>
      <c r="V105" t="str">
        <f t="shared" si="45"/>
        <v/>
      </c>
      <c r="W105" s="72" t="str">
        <f t="shared" si="76"/>
        <v/>
      </c>
      <c r="X105" s="49"/>
      <c r="Y105" s="49"/>
      <c r="Z105" s="49"/>
      <c r="AA105" s="49"/>
      <c r="AB105" s="49" t="str">
        <f>CONCATENATE("&lt;!-- ",Z100," fin --&gt;")</f>
        <v>&lt;!--  fin --&gt;</v>
      </c>
      <c r="AC105" s="73"/>
    </row>
    <row r="106" customFormat="1" ht="14.55" spans="1:29">
      <c r="A106" s="74" t="str">
        <f t="shared" si="73"/>
        <v/>
      </c>
      <c r="B106" s="52"/>
      <c r="C106" s="49" t="str">
        <f>""</f>
        <v/>
      </c>
      <c r="D106" s="49"/>
      <c r="E106" s="49"/>
      <c r="F106" t="str">
        <f t="shared" si="72"/>
        <v/>
      </c>
      <c r="G106" s="61" t="str">
        <f t="shared" si="74"/>
        <v/>
      </c>
      <c r="H106" s="75"/>
      <c r="I106" s="75"/>
      <c r="J106" s="52"/>
      <c r="K106" s="55"/>
      <c r="L106" s="49" t="str">
        <f>""</f>
        <v/>
      </c>
      <c r="N106" t="str">
        <f t="shared" si="47"/>
        <v/>
      </c>
      <c r="O106" s="54" t="str">
        <f t="shared" si="75"/>
        <v/>
      </c>
      <c r="P106" s="55"/>
      <c r="Q106" s="55"/>
      <c r="R106" s="52"/>
      <c r="S106" s="55"/>
      <c r="T106" s="49" t="str">
        <f>""</f>
        <v/>
      </c>
      <c r="V106" t="str">
        <f t="shared" si="45"/>
        <v/>
      </c>
      <c r="W106" s="54" t="str">
        <f t="shared" si="76"/>
        <v/>
      </c>
      <c r="X106" s="55"/>
      <c r="Y106" s="55"/>
      <c r="Z106" s="52"/>
      <c r="AA106" s="55"/>
      <c r="AB106" s="49" t="str">
        <f>""</f>
        <v/>
      </c>
    </row>
    <row r="107" customFormat="1" spans="1:29">
      <c r="A107" s="50" t="str">
        <f>CONCATENATE("Título ",A109)</f>
        <v>Título 16</v>
      </c>
      <c r="B107" s="57"/>
      <c r="C107" s="51" t="str">
        <f>CONCATENATE("&lt;!-- ",CONCATENATE(B107," ",B108)," --&gt;")</f>
        <v>&lt;!--   --&gt;</v>
      </c>
      <c r="D107" s="52"/>
      <c r="E107" s="53" t="str">
        <f>""</f>
        <v/>
      </c>
      <c r="F107" t="str">
        <f t="shared" ref="F107:F113" si="77">""</f>
        <v/>
      </c>
      <c r="G107" s="54" t="str">
        <f>CONCATENATE("Título ",G109)</f>
        <v>Título 16</v>
      </c>
      <c r="H107" s="55"/>
      <c r="I107" s="55"/>
      <c r="J107" s="57" t="s">
        <v>221</v>
      </c>
      <c r="K107" s="55" t="s">
        <v>2</v>
      </c>
      <c r="L107" s="51" t="str">
        <f>CONCATENATE("&lt;!-- ",CONCATENATE(J107," ",J108)," --&gt;")</f>
        <v>&lt;!-- Datos desde una URL o API  --&gt;</v>
      </c>
      <c r="M107" s="56"/>
      <c r="N107" t="str">
        <f t="shared" si="47"/>
        <v/>
      </c>
      <c r="O107" s="54" t="str">
        <f>G107</f>
        <v>Título 16</v>
      </c>
      <c r="P107" s="55"/>
      <c r="Q107" s="55"/>
      <c r="R107" s="57"/>
      <c r="S107" s="55"/>
      <c r="T107" s="55" t="str">
        <f>CONCATENATE("&lt;!-- ",R107," --&gt;")</f>
        <v>&lt;!--  --&gt;</v>
      </c>
      <c r="U107" s="56"/>
      <c r="V107" t="str">
        <f t="shared" si="45"/>
        <v/>
      </c>
      <c r="W107" s="54" t="str">
        <f>O107</f>
        <v>Título 16</v>
      </c>
      <c r="X107" s="55"/>
      <c r="Y107" s="55"/>
      <c r="Z107" s="57"/>
      <c r="AA107" s="55"/>
      <c r="AB107" s="55" t="str">
        <f>CONCATENATE("&lt;!-- ",Z107," --&gt;")</f>
        <v>&lt;!--  --&gt;</v>
      </c>
      <c r="AC107" s="56"/>
    </row>
    <row r="108" customFormat="1" ht="14.4" spans="1:29">
      <c r="A108" s="58" t="s">
        <v>186</v>
      </c>
      <c r="B108"/>
      <c r="C108" t="str">
        <f>IF(B109&lt;&gt;"",CONCATENATE("&lt;div id=",Comilla,B110,Comilla,"&gt;"),"")</f>
        <v/>
      </c>
      <c r="D108" s="59"/>
      <c r="E108" s="60" t="str">
        <f>CONCATENATE(" &lt;a href=",Comilla,"#",B110,Comilla," class=",Comilla,"submenu-item",Comilla,"&gt;",B107,"&lt;/a&gt;")</f>
        <v> &lt;a href="#" class="submenu-item"&gt;&lt;/a&gt;</v>
      </c>
      <c r="F108" t="str">
        <f t="shared" si="77"/>
        <v/>
      </c>
      <c r="G108" s="61" t="s">
        <v>186</v>
      </c>
      <c r="H108" s="62" t="s">
        <v>187</v>
      </c>
      <c r="I108" s="63" t="s">
        <v>188</v>
      </c>
      <c r="J108" s="64"/>
      <c r="K108"/>
      <c r="L108" t="str">
        <f>IF(J107&lt;&gt;"","&lt;div&gt;","")</f>
        <v>&lt;div&gt;</v>
      </c>
      <c r="M108" s="65"/>
      <c r="N108" t="str">
        <f t="shared" si="47"/>
        <v/>
      </c>
      <c r="O108" s="61" t="s">
        <v>186</v>
      </c>
      <c r="P108" s="62" t="s">
        <v>187</v>
      </c>
      <c r="Q108" s="63" t="s">
        <v>188</v>
      </c>
      <c r="R108"/>
      <c r="S108"/>
      <c r="T108" t="str">
        <f>CONCATENATE(P108,R108,Q108)</f>
        <v>&lt;div &gt;</v>
      </c>
      <c r="U108" s="65"/>
      <c r="V108" t="str">
        <f t="shared" si="45"/>
        <v/>
      </c>
      <c r="W108" s="61" t="s">
        <v>186</v>
      </c>
      <c r="X108" s="62" t="s">
        <v>187</v>
      </c>
      <c r="Y108" s="63" t="s">
        <v>188</v>
      </c>
      <c r="Z108"/>
      <c r="AA108"/>
      <c r="AB108" t="str">
        <f>CONCATENATE(X108,Z108,Y108)</f>
        <v>&lt;div &gt;</v>
      </c>
      <c r="AC108" s="65"/>
    </row>
    <row r="109" customFormat="1" spans="1:29">
      <c r="A109" s="66">
        <f>A102+1</f>
        <v>16</v>
      </c>
      <c r="B109" s="67" t="str">
        <f>IF(B107="","",SUBSTITUTE(SUBSTITUTE(SUBSTITUTE(SUBSTITUTE(SUBSTITUTE(SUBSTITUTE(SUBSTITUTE(SUBSTITUTE(LOWER(CONCATENATE(B107," ",B108))," ","-"),"&lt;",""),"&gt;",""),"ó","o"),"?",""),"¿",""),"é","e"),"á","a"))</f>
        <v/>
      </c>
      <c r="C109" s="68" t="str">
        <f>CONCATENATE("&lt;h3&gt;",SUBSTITUTE(CONCATENATE(B107," ",B108),"&lt;","&amp;lt;"),"&lt;/h3&gt;")</f>
        <v>&lt;h3&gt; &lt;/h3&gt;</v>
      </c>
      <c r="D109" s="59"/>
      <c r="E109" s="60"/>
      <c r="F109" t="str">
        <f t="shared" si="77"/>
        <v/>
      </c>
      <c r="G109" s="61">
        <f>G102+1</f>
        <v>16</v>
      </c>
      <c r="J109" s="59"/>
      <c r="K109" s="59"/>
      <c r="L109" s="68" t="str">
        <f>CONCATENATE("&lt;h4&gt;",SUBSTITUTE(CONCATENATE(J107," ",J108),"&lt;","&amp;lt;"),"&lt;/h4&gt;")</f>
        <v>&lt;h4&gt;Datos desde una URL o API &lt;/h4&gt;</v>
      </c>
      <c r="M109" s="65"/>
      <c r="N109" t="str">
        <f t="shared" si="47"/>
        <v/>
      </c>
      <c r="O109" s="61">
        <f>O102+1</f>
        <v>16</v>
      </c>
      <c r="T109" t="str">
        <f>CONCATENATE("&lt;h5&gt;",R107,"&lt;/h5&gt;")</f>
        <v>&lt;h5&gt;&lt;/h5&gt;</v>
      </c>
      <c r="U109" s="65"/>
      <c r="V109" t="str">
        <f t="shared" si="45"/>
        <v/>
      </c>
      <c r="W109" s="61">
        <f>W102+1</f>
        <v>16</v>
      </c>
      <c r="AB109" t="str">
        <f>CONCATENATE("&lt;",$Y$1,"&gt;",Z107,"&lt;/",$Y$1,"&gt;")</f>
        <v>&lt;h6&gt;&lt;/h6&gt;</v>
      </c>
      <c r="AC109" s="65"/>
    </row>
    <row r="110" customFormat="1" spans="1:29">
      <c r="A110" s="58" t="str">
        <f t="shared" ref="A110:A113" si="78">""</f>
        <v/>
      </c>
      <c r="B110" s="67" t="str">
        <f>IF(B109&lt;&gt;"",IF(B108="",LEFT(B109,LEN(B109)-1),B109),"")</f>
        <v/>
      </c>
      <c r="D110" s="59"/>
      <c r="E110" s="60"/>
      <c r="F110" t="str">
        <f t="shared" si="77"/>
        <v/>
      </c>
      <c r="G110" s="61" t="s">
        <v>189</v>
      </c>
      <c r="H110"/>
      <c r="I110"/>
      <c r="J110" s="64"/>
      <c r="K110" t="s">
        <v>2</v>
      </c>
      <c r="L110" t="str">
        <f>IF(J110&lt;&gt;"",CONCATENATE("&lt;p&gt;",J110,"&lt;/p&gt;"),"")</f>
        <v/>
      </c>
      <c r="M110" s="65"/>
      <c r="N110" t="str">
        <f t="shared" si="47"/>
        <v/>
      </c>
      <c r="O110" s="61" t="s">
        <v>189</v>
      </c>
      <c r="P110"/>
      <c r="Q110"/>
      <c r="R110" s="64"/>
      <c r="S110" t="s">
        <v>2</v>
      </c>
      <c r="T110" t="str">
        <f>IF(R110&lt;&gt;"",R110,"")</f>
        <v/>
      </c>
      <c r="U110" s="65"/>
      <c r="V110" t="str">
        <f t="shared" si="45"/>
        <v/>
      </c>
      <c r="W110" s="61" t="s">
        <v>189</v>
      </c>
      <c r="X110"/>
      <c r="Y110"/>
      <c r="Z110" s="64"/>
      <c r="AA110" t="s">
        <v>2</v>
      </c>
      <c r="AB110" t="str">
        <f>IF(Z110&lt;&gt;"",Z110,"")</f>
        <v/>
      </c>
      <c r="AC110" s="65"/>
    </row>
    <row r="111" customFormat="1" spans="1:29">
      <c r="A111" s="58" t="s">
        <v>189</v>
      </c>
      <c r="B111" s="64"/>
      <c r="C111" t="s">
        <v>117</v>
      </c>
      <c r="D111" s="59"/>
      <c r="E111" s="60"/>
      <c r="F111" t="str">
        <f t="shared" si="77"/>
        <v/>
      </c>
      <c r="G111" s="61" t="str">
        <f t="shared" ref="G111:G113" si="79">""</f>
        <v/>
      </c>
      <c r="L111" t="s">
        <v>117</v>
      </c>
      <c r="M111" s="65"/>
      <c r="N111" t="str">
        <f t="shared" si="47"/>
        <v/>
      </c>
      <c r="O111" s="61" t="str">
        <f t="shared" ref="O111:O113" si="80">""</f>
        <v/>
      </c>
      <c r="T111" t="s">
        <v>117</v>
      </c>
      <c r="U111" s="65"/>
      <c r="V111" t="str">
        <f t="shared" si="45"/>
        <v/>
      </c>
      <c r="W111" s="61" t="str">
        <f t="shared" ref="W111:W113" si="81">""</f>
        <v/>
      </c>
      <c r="AB111" t="s">
        <v>117</v>
      </c>
      <c r="AC111" s="65"/>
    </row>
    <row r="112" customFormat="1" ht="14.55" spans="1:29">
      <c r="A112" s="69" t="str">
        <f t="shared" si="78"/>
        <v/>
      </c>
      <c r="C112" s="49" t="str">
        <f>CONCATENATE("&lt;!-- ",CONCATENATE(B107," ",B108," fin")," --&gt;")</f>
        <v>&lt;!--   fin --&gt;</v>
      </c>
      <c r="D112" s="70"/>
      <c r="E112" s="71"/>
      <c r="F112" t="str">
        <f t="shared" si="77"/>
        <v/>
      </c>
      <c r="G112" s="72" t="str">
        <f t="shared" si="79"/>
        <v/>
      </c>
      <c r="H112" s="49"/>
      <c r="I112" s="49"/>
      <c r="J112" s="49"/>
      <c r="K112" s="49"/>
      <c r="L112" s="49" t="str">
        <f>CONCATENATE("&lt;!-- ",CONCATENATE(J107," ",J108," fin")," --&gt;")</f>
        <v>&lt;!-- Datos desde una URL o API  fin --&gt;</v>
      </c>
      <c r="M112" s="73"/>
      <c r="N112" t="str">
        <f t="shared" si="47"/>
        <v/>
      </c>
      <c r="O112" s="72" t="str">
        <f t="shared" si="80"/>
        <v/>
      </c>
      <c r="P112" s="49"/>
      <c r="Q112" s="49"/>
      <c r="R112" s="49"/>
      <c r="S112" s="49"/>
      <c r="T112" s="49" t="str">
        <f>CONCATENATE("&lt;!-- ",R107," fin --&gt;")</f>
        <v>&lt;!--  fin --&gt;</v>
      </c>
      <c r="U112" s="73"/>
      <c r="V112" t="str">
        <f t="shared" si="45"/>
        <v/>
      </c>
      <c r="W112" s="72" t="str">
        <f t="shared" si="81"/>
        <v/>
      </c>
      <c r="X112" s="49"/>
      <c r="Y112" s="49"/>
      <c r="Z112" s="49"/>
      <c r="AA112" s="49"/>
      <c r="AB112" s="49" t="str">
        <f>CONCATENATE("&lt;!-- ",Z107," fin --&gt;")</f>
        <v>&lt;!--  fin --&gt;</v>
      </c>
      <c r="AC112" s="73"/>
    </row>
    <row r="113" customFormat="1" ht="14.55" spans="1:29">
      <c r="A113" s="74" t="str">
        <f t="shared" si="78"/>
        <v/>
      </c>
      <c r="B113" s="52"/>
      <c r="C113" s="49" t="str">
        <f>""</f>
        <v/>
      </c>
      <c r="D113" s="49"/>
      <c r="E113" s="49"/>
      <c r="F113" t="str">
        <f t="shared" si="77"/>
        <v/>
      </c>
      <c r="G113" s="61" t="str">
        <f t="shared" si="79"/>
        <v/>
      </c>
      <c r="H113" s="75"/>
      <c r="I113" s="75"/>
      <c r="J113" s="52"/>
      <c r="K113" s="55"/>
      <c r="L113" s="49" t="str">
        <f>""</f>
        <v/>
      </c>
      <c r="N113" t="str">
        <f t="shared" si="47"/>
        <v/>
      </c>
      <c r="O113" s="54" t="str">
        <f t="shared" si="80"/>
        <v/>
      </c>
      <c r="P113" s="55"/>
      <c r="Q113" s="55"/>
      <c r="R113" s="52"/>
      <c r="S113" s="55"/>
      <c r="T113" s="49" t="str">
        <f>""</f>
        <v/>
      </c>
      <c r="V113" t="str">
        <f t="shared" si="45"/>
        <v/>
      </c>
      <c r="W113" s="54" t="str">
        <f t="shared" si="81"/>
        <v/>
      </c>
      <c r="X113" s="55"/>
      <c r="Y113" s="55"/>
      <c r="Z113" s="52"/>
      <c r="AA113" s="55"/>
      <c r="AB113" s="49" t="str">
        <f>""</f>
        <v/>
      </c>
    </row>
    <row r="114" customFormat="1" spans="1:29">
      <c r="A114" s="50" t="str">
        <f>CONCATENATE("Título ",A116)</f>
        <v>Título 17</v>
      </c>
      <c r="B114" s="57"/>
      <c r="C114" s="51" t="str">
        <f>CONCATENATE("&lt;!-- ",CONCATENATE(B114," ",B115)," --&gt;")</f>
        <v>&lt;!--   --&gt;</v>
      </c>
      <c r="D114" s="52"/>
      <c r="E114" s="53" t="str">
        <f>""</f>
        <v/>
      </c>
      <c r="F114" t="str">
        <f t="shared" ref="F114:F120" si="82">""</f>
        <v/>
      </c>
      <c r="G114" s="54" t="str">
        <f>CONCATENATE("Título ",G116)</f>
        <v>Título 17</v>
      </c>
      <c r="H114" s="55"/>
      <c r="I114" s="55"/>
      <c r="J114" s="57" t="s">
        <v>222</v>
      </c>
      <c r="K114" s="55" t="s">
        <v>2</v>
      </c>
      <c r="L114" s="51" t="str">
        <f>CONCATENATE("&lt;!-- ",CONCATENATE(J114," ",J115)," --&gt;")</f>
        <v>&lt;!-- Archivos Parquet (columnar data)  --&gt;</v>
      </c>
      <c r="M114" s="56"/>
      <c r="N114" t="str">
        <f t="shared" si="47"/>
        <v/>
      </c>
      <c r="O114" s="54" t="str">
        <f>G114</f>
        <v>Título 17</v>
      </c>
      <c r="P114" s="55"/>
      <c r="Q114" s="55"/>
      <c r="R114" s="57"/>
      <c r="S114" s="55"/>
      <c r="T114" s="55" t="str">
        <f>CONCATENATE("&lt;!-- ",R114," --&gt;")</f>
        <v>&lt;!--  --&gt;</v>
      </c>
      <c r="U114" s="56"/>
      <c r="V114" t="str">
        <f t="shared" si="45"/>
        <v/>
      </c>
      <c r="W114" s="54" t="str">
        <f>O114</f>
        <v>Título 17</v>
      </c>
      <c r="X114" s="55"/>
      <c r="Y114" s="55"/>
      <c r="Z114" s="57"/>
      <c r="AA114" s="55"/>
      <c r="AB114" s="55" t="str">
        <f>CONCATENATE("&lt;!-- ",Z114," --&gt;")</f>
        <v>&lt;!--  --&gt;</v>
      </c>
      <c r="AC114" s="56"/>
    </row>
    <row r="115" customFormat="1" ht="14.4" spans="1:29">
      <c r="A115" s="58" t="s">
        <v>186</v>
      </c>
      <c r="C115" t="str">
        <f>IF(B116&lt;&gt;"",CONCATENATE("&lt;div id=",Comilla,B117,Comilla,"&gt;"),"")</f>
        <v/>
      </c>
      <c r="D115" s="59"/>
      <c r="E115" s="60" t="str">
        <f>CONCATENATE(" &lt;a href=",Comilla,"#",B117,Comilla," class=",Comilla,"submenu-item",Comilla,"&gt;",B114,"&lt;/a&gt;")</f>
        <v> &lt;a href="#" class="submenu-item"&gt;&lt;/a&gt;</v>
      </c>
      <c r="F115" t="str">
        <f t="shared" si="82"/>
        <v/>
      </c>
      <c r="G115" s="61" t="s">
        <v>186</v>
      </c>
      <c r="H115" s="62" t="s">
        <v>187</v>
      </c>
      <c r="I115" s="63" t="s">
        <v>188</v>
      </c>
      <c r="J115" s="64"/>
      <c r="L115" t="str">
        <f>IF(J114&lt;&gt;"","&lt;div&gt;","")</f>
        <v>&lt;div&gt;</v>
      </c>
      <c r="M115" s="65"/>
      <c r="N115" t="str">
        <f t="shared" si="47"/>
        <v/>
      </c>
      <c r="O115" s="61" t="s">
        <v>186</v>
      </c>
      <c r="P115" s="62" t="s">
        <v>187</v>
      </c>
      <c r="Q115" s="63" t="s">
        <v>188</v>
      </c>
      <c r="T115" t="str">
        <f>CONCATENATE(P115,R115,Q115)</f>
        <v>&lt;div &gt;</v>
      </c>
      <c r="U115" s="65"/>
      <c r="V115" t="str">
        <f t="shared" si="45"/>
        <v/>
      </c>
      <c r="W115" s="61" t="s">
        <v>186</v>
      </c>
      <c r="X115" s="62" t="s">
        <v>187</v>
      </c>
      <c r="Y115" s="63" t="s">
        <v>188</v>
      </c>
      <c r="AB115" t="str">
        <f>CONCATENATE(X115,Z115,Y115)</f>
        <v>&lt;div &gt;</v>
      </c>
      <c r="AC115" s="65"/>
    </row>
    <row r="116" customFormat="1" spans="1:29">
      <c r="A116" s="66">
        <f>A109+1</f>
        <v>17</v>
      </c>
      <c r="B116" s="67" t="str">
        <f>IF(B114="","",SUBSTITUTE(SUBSTITUTE(SUBSTITUTE(SUBSTITUTE(SUBSTITUTE(SUBSTITUTE(SUBSTITUTE(SUBSTITUTE(LOWER(CONCATENATE(B114," ",B115))," ","-"),"&lt;",""),"&gt;",""),"ó","o"),"?",""),"¿",""),"é","e"),"á","a"))</f>
        <v/>
      </c>
      <c r="C116" s="68" t="str">
        <f>CONCATENATE("&lt;h3&gt;",SUBSTITUTE(CONCATENATE(B114," ",B115),"&lt;","&amp;lt;"),"&lt;/h3&gt;")</f>
        <v>&lt;h3&gt; &lt;/h3&gt;</v>
      </c>
      <c r="D116" s="59"/>
      <c r="E116" s="60"/>
      <c r="F116" t="str">
        <f t="shared" si="82"/>
        <v/>
      </c>
      <c r="G116" s="61">
        <f>G109+1</f>
        <v>17</v>
      </c>
      <c r="J116" s="59"/>
      <c r="K116" s="59"/>
      <c r="L116" s="68" t="str">
        <f>CONCATENATE("&lt;h4&gt;",SUBSTITUTE(CONCATENATE(J114," ",J115),"&lt;","&amp;lt;"),"&lt;/h4&gt;")</f>
        <v>&lt;h4&gt;Archivos Parquet (columnar data) &lt;/h4&gt;</v>
      </c>
      <c r="M116" s="65"/>
      <c r="N116" t="str">
        <f t="shared" si="47"/>
        <v/>
      </c>
      <c r="O116" s="61">
        <f>O109+1</f>
        <v>17</v>
      </c>
      <c r="T116" t="str">
        <f>CONCATENATE("&lt;h5&gt;",R114,"&lt;/h5&gt;")</f>
        <v>&lt;h5&gt;&lt;/h5&gt;</v>
      </c>
      <c r="U116" s="65"/>
      <c r="V116" t="str">
        <f t="shared" si="45"/>
        <v/>
      </c>
      <c r="W116" s="61">
        <f>W109+1</f>
        <v>17</v>
      </c>
      <c r="AB116" t="str">
        <f>CONCATENATE("&lt;",$Y$1,"&gt;",Z114,"&lt;/",$Y$1,"&gt;")</f>
        <v>&lt;h6&gt;&lt;/h6&gt;</v>
      </c>
      <c r="AC116" s="65"/>
    </row>
    <row r="117" customFormat="1" spans="1:29">
      <c r="A117" s="58" t="str">
        <f t="shared" ref="A117:A120" si="83">""</f>
        <v/>
      </c>
      <c r="B117" s="67" t="str">
        <f>IF(B116&lt;&gt;"",IF(B115="",LEFT(B116,LEN(B116)-1),B116),"")</f>
        <v/>
      </c>
      <c r="D117" s="59"/>
      <c r="E117" s="60"/>
      <c r="F117" t="str">
        <f t="shared" si="82"/>
        <v/>
      </c>
      <c r="G117" s="61" t="s">
        <v>189</v>
      </c>
      <c r="J117" s="64"/>
      <c r="K117" t="s">
        <v>2</v>
      </c>
      <c r="L117" t="str">
        <f>IF(J117&lt;&gt;"",CONCATENATE("&lt;p&gt;",J117,"&lt;/p&gt;"),"")</f>
        <v/>
      </c>
      <c r="M117" s="65"/>
      <c r="N117" t="str">
        <f t="shared" si="47"/>
        <v/>
      </c>
      <c r="O117" s="61" t="s">
        <v>189</v>
      </c>
      <c r="R117" s="64"/>
      <c r="S117" t="s">
        <v>2</v>
      </c>
      <c r="T117" t="str">
        <f>IF(R117&lt;&gt;"",R117,"")</f>
        <v/>
      </c>
      <c r="U117" s="65"/>
      <c r="V117" t="str">
        <f t="shared" si="45"/>
        <v/>
      </c>
      <c r="W117" s="61" t="s">
        <v>189</v>
      </c>
      <c r="Z117" s="64"/>
      <c r="AA117" t="s">
        <v>2</v>
      </c>
      <c r="AB117" t="str">
        <f>IF(Z117&lt;&gt;"",Z117,"")</f>
        <v/>
      </c>
      <c r="AC117" s="65"/>
    </row>
    <row r="118" customFormat="1" spans="1:29">
      <c r="A118" s="58" t="s">
        <v>189</v>
      </c>
      <c r="B118" s="64"/>
      <c r="C118" t="s">
        <v>117</v>
      </c>
      <c r="D118" s="59"/>
      <c r="E118" s="60"/>
      <c r="F118" t="str">
        <f t="shared" si="82"/>
        <v/>
      </c>
      <c r="G118" s="61" t="str">
        <f t="shared" ref="G118:G120" si="84">""</f>
        <v/>
      </c>
      <c r="L118" t="s">
        <v>117</v>
      </c>
      <c r="M118" s="65"/>
      <c r="N118" t="str">
        <f t="shared" si="47"/>
        <v/>
      </c>
      <c r="O118" s="61" t="str">
        <f t="shared" ref="O118:O120" si="85">""</f>
        <v/>
      </c>
      <c r="T118" t="s">
        <v>117</v>
      </c>
      <c r="U118" s="65"/>
      <c r="V118" t="str">
        <f t="shared" si="45"/>
        <v/>
      </c>
      <c r="W118" s="61" t="str">
        <f t="shared" ref="W118:W120" si="86">""</f>
        <v/>
      </c>
      <c r="AB118" t="s">
        <v>117</v>
      </c>
      <c r="AC118" s="65"/>
    </row>
    <row r="119" customFormat="1" ht="14.55" spans="1:29">
      <c r="A119" s="69" t="str">
        <f t="shared" si="83"/>
        <v/>
      </c>
      <c r="C119" s="49" t="str">
        <f>CONCATENATE("&lt;!-- ",CONCATENATE(B114," ",B115," fin")," --&gt;")</f>
        <v>&lt;!--   fin --&gt;</v>
      </c>
      <c r="D119" s="70"/>
      <c r="E119" s="71"/>
      <c r="F119" t="str">
        <f t="shared" si="82"/>
        <v/>
      </c>
      <c r="G119" s="72" t="str">
        <f t="shared" si="84"/>
        <v/>
      </c>
      <c r="H119" s="49"/>
      <c r="I119" s="49"/>
      <c r="J119" s="49"/>
      <c r="K119" s="49"/>
      <c r="L119" s="49" t="str">
        <f>CONCATENATE("&lt;!-- ",CONCATENATE(J114," ",J115," fin")," --&gt;")</f>
        <v>&lt;!-- Archivos Parquet (columnar data)  fin --&gt;</v>
      </c>
      <c r="M119" s="73"/>
      <c r="N119" t="str">
        <f t="shared" si="47"/>
        <v/>
      </c>
      <c r="O119" s="72" t="str">
        <f t="shared" si="85"/>
        <v/>
      </c>
      <c r="P119" s="49"/>
      <c r="Q119" s="49"/>
      <c r="R119" s="49"/>
      <c r="S119" s="49"/>
      <c r="T119" s="49" t="str">
        <f>CONCATENATE("&lt;!-- ",R114," fin --&gt;")</f>
        <v>&lt;!--  fin --&gt;</v>
      </c>
      <c r="U119" s="73"/>
      <c r="V119" t="str">
        <f t="shared" si="45"/>
        <v/>
      </c>
      <c r="W119" s="72" t="str">
        <f t="shared" si="86"/>
        <v/>
      </c>
      <c r="X119" s="49"/>
      <c r="Y119" s="49"/>
      <c r="Z119" s="49"/>
      <c r="AA119" s="49"/>
      <c r="AB119" s="49" t="str">
        <f>CONCATENATE("&lt;!-- ",Z114," fin --&gt;")</f>
        <v>&lt;!--  fin --&gt;</v>
      </c>
      <c r="AC119" s="73"/>
    </row>
    <row r="120" customFormat="1" ht="14.55" spans="1:29">
      <c r="A120" s="74" t="str">
        <f t="shared" si="83"/>
        <v/>
      </c>
      <c r="B120" s="52"/>
      <c r="C120" s="49" t="str">
        <f>""</f>
        <v/>
      </c>
      <c r="D120" s="49"/>
      <c r="E120" s="49"/>
      <c r="F120" t="str">
        <f t="shared" si="82"/>
        <v/>
      </c>
      <c r="G120" s="61" t="str">
        <f t="shared" si="84"/>
        <v/>
      </c>
      <c r="H120" s="75"/>
      <c r="I120" s="75"/>
      <c r="J120" s="52"/>
      <c r="K120" s="55"/>
      <c r="L120" s="49" t="str">
        <f>""</f>
        <v/>
      </c>
      <c r="N120" t="str">
        <f t="shared" si="47"/>
        <v/>
      </c>
      <c r="O120" s="54" t="str">
        <f t="shared" si="85"/>
        <v/>
      </c>
      <c r="P120" s="55"/>
      <c r="Q120" s="55"/>
      <c r="R120" s="52"/>
      <c r="S120" s="55"/>
      <c r="T120" s="49" t="str">
        <f>""</f>
        <v/>
      </c>
      <c r="V120" t="str">
        <f t="shared" si="45"/>
        <v/>
      </c>
      <c r="W120" s="54" t="str">
        <f t="shared" si="86"/>
        <v/>
      </c>
      <c r="X120" s="55"/>
      <c r="Y120" s="55"/>
      <c r="Z120" s="52"/>
      <c r="AA120" s="55"/>
      <c r="AB120" s="49" t="str">
        <f>""</f>
        <v/>
      </c>
    </row>
    <row r="121" customFormat="1" spans="1:29">
      <c r="A121" s="50" t="str">
        <f>CONCATENATE("Título ",A123)</f>
        <v>Título 18</v>
      </c>
      <c r="B121" s="57"/>
      <c r="C121" s="51" t="str">
        <f>CONCATENATE("&lt;!-- ",CONCATENATE(B121," ",B122)," --&gt;")</f>
        <v>&lt;!--   --&gt;</v>
      </c>
      <c r="D121" s="52"/>
      <c r="E121" s="53" t="str">
        <f>""</f>
        <v/>
      </c>
      <c r="F121" t="str">
        <f t="shared" ref="F121:F127" si="87">""</f>
        <v/>
      </c>
      <c r="G121" s="54" t="str">
        <f>CONCATENATE("Título ",G123)</f>
        <v>Título 18</v>
      </c>
      <c r="H121" s="55"/>
      <c r="I121" s="55"/>
      <c r="J121" s="57"/>
      <c r="K121" s="55" t="s">
        <v>2</v>
      </c>
      <c r="L121" s="51" t="str">
        <f>CONCATENATE("&lt;!-- ",CONCATENATE(J121," ",J122)," --&gt;")</f>
        <v>&lt;!--   --&gt;</v>
      </c>
      <c r="M121" s="56"/>
      <c r="N121" t="str">
        <f t="shared" si="47"/>
        <v/>
      </c>
      <c r="O121" s="54" t="str">
        <f>G121</f>
        <v>Título 18</v>
      </c>
      <c r="P121" s="55"/>
      <c r="Q121" s="55"/>
      <c r="R121" s="57"/>
      <c r="S121" s="55"/>
      <c r="T121" s="55" t="str">
        <f>CONCATENATE("&lt;!-- ",R121," --&gt;")</f>
        <v>&lt;!--  --&gt;</v>
      </c>
      <c r="U121" s="56"/>
      <c r="V121" t="str">
        <f t="shared" si="45"/>
        <v/>
      </c>
      <c r="W121" s="54" t="str">
        <f>O121</f>
        <v>Título 18</v>
      </c>
      <c r="X121" s="55"/>
      <c r="Y121" s="55"/>
      <c r="Z121" s="57"/>
      <c r="AA121" s="55"/>
      <c r="AB121" s="55" t="str">
        <f>CONCATENATE("&lt;!-- ",Z121," --&gt;")</f>
        <v>&lt;!--  --&gt;</v>
      </c>
      <c r="AC121" s="56"/>
    </row>
    <row r="122" customFormat="1" ht="14.4" spans="1:29">
      <c r="A122" s="58" t="s">
        <v>186</v>
      </c>
      <c r="C122" t="str">
        <f>IF(B123&lt;&gt;"",CONCATENATE("&lt;div id=",Comilla,B124,Comilla,"&gt;"),"")</f>
        <v/>
      </c>
      <c r="D122" s="59"/>
      <c r="E122" s="60" t="str">
        <f>CONCATENATE(" &lt;a href=",Comilla,"#",B124,Comilla," class=",Comilla,"submenu-item",Comilla,"&gt;",B121,"&lt;/a&gt;")</f>
        <v> &lt;a href="#" class="submenu-item"&gt;&lt;/a&gt;</v>
      </c>
      <c r="F122" t="str">
        <f t="shared" si="87"/>
        <v/>
      </c>
      <c r="G122" s="61" t="s">
        <v>186</v>
      </c>
      <c r="H122" s="62" t="s">
        <v>187</v>
      </c>
      <c r="I122" s="63" t="s">
        <v>188</v>
      </c>
      <c r="J122" s="64"/>
      <c r="K122"/>
      <c r="L122" t="str">
        <f>IF(J121&lt;&gt;"","&lt;div&gt;","")</f>
        <v/>
      </c>
      <c r="M122" s="65"/>
      <c r="N122" t="str">
        <f t="shared" si="47"/>
        <v/>
      </c>
      <c r="O122" s="61" t="s">
        <v>186</v>
      </c>
      <c r="P122" s="62" t="s">
        <v>187</v>
      </c>
      <c r="Q122" s="63" t="s">
        <v>188</v>
      </c>
      <c r="T122" t="str">
        <f>CONCATENATE(P122,R122,Q122)</f>
        <v>&lt;div &gt;</v>
      </c>
      <c r="U122" s="65"/>
      <c r="V122" t="str">
        <f t="shared" si="45"/>
        <v/>
      </c>
      <c r="W122" s="61" t="s">
        <v>186</v>
      </c>
      <c r="X122" s="62" t="s">
        <v>187</v>
      </c>
      <c r="Y122" s="63" t="s">
        <v>188</v>
      </c>
      <c r="AB122" t="str">
        <f>CONCATENATE(X122,Z122,Y122)</f>
        <v>&lt;div &gt;</v>
      </c>
      <c r="AC122" s="65"/>
    </row>
    <row r="123" customFormat="1" spans="1:29">
      <c r="A123" s="66">
        <f>A116+1</f>
        <v>18</v>
      </c>
      <c r="B123" s="67" t="str">
        <f>IF(B121="","",SUBSTITUTE(SUBSTITUTE(SUBSTITUTE(SUBSTITUTE(SUBSTITUTE(SUBSTITUTE(SUBSTITUTE(SUBSTITUTE(LOWER(CONCATENATE(B121," ",B122))," ","-"),"&lt;",""),"&gt;",""),"ó","o"),"?",""),"¿",""),"é","e"),"á","a"))</f>
        <v/>
      </c>
      <c r="C123" s="68" t="str">
        <f>CONCATENATE("&lt;h3&gt;",SUBSTITUTE(CONCATENATE(B121," ",B122),"&lt;","&amp;lt;"),"&lt;/h3&gt;")</f>
        <v>&lt;h3&gt; &lt;/h3&gt;</v>
      </c>
      <c r="D123" s="59"/>
      <c r="E123" s="60"/>
      <c r="F123" t="str">
        <f t="shared" si="87"/>
        <v/>
      </c>
      <c r="G123" s="61">
        <f>G116+1</f>
        <v>18</v>
      </c>
      <c r="J123" s="59"/>
      <c r="K123" s="59"/>
      <c r="L123" s="68" t="str">
        <f>CONCATENATE("&lt;h4&gt;",SUBSTITUTE(CONCATENATE(J121," ",J122),"&lt;","&amp;lt;"),"&lt;/h4&gt;")</f>
        <v>&lt;h4&gt; &lt;/h4&gt;</v>
      </c>
      <c r="M123" s="65"/>
      <c r="N123" t="str">
        <f t="shared" si="47"/>
        <v/>
      </c>
      <c r="O123" s="61">
        <f>O116+1</f>
        <v>18</v>
      </c>
      <c r="T123" t="str">
        <f>CONCATENATE("&lt;h5&gt;",R121,"&lt;/h5&gt;")</f>
        <v>&lt;h5&gt;&lt;/h5&gt;</v>
      </c>
      <c r="U123" s="65"/>
      <c r="V123" t="str">
        <f t="shared" si="45"/>
        <v/>
      </c>
      <c r="W123" s="61">
        <f>W116+1</f>
        <v>18</v>
      </c>
      <c r="AB123" t="str">
        <f>CONCATENATE("&lt;",$Y$1,"&gt;",Z121,"&lt;/",$Y$1,"&gt;")</f>
        <v>&lt;h6&gt;&lt;/h6&gt;</v>
      </c>
      <c r="AC123" s="65"/>
    </row>
    <row r="124" customFormat="1" spans="1:29">
      <c r="A124" s="58" t="str">
        <f t="shared" ref="A124:A127" si="88">""</f>
        <v/>
      </c>
      <c r="B124" s="67" t="str">
        <f>IF(B123&lt;&gt;"",IF(B122="",LEFT(B123,LEN(B123)-1),B123),"")</f>
        <v/>
      </c>
      <c r="D124" s="59"/>
      <c r="E124" s="60"/>
      <c r="F124" t="str">
        <f t="shared" si="87"/>
        <v/>
      </c>
      <c r="G124" s="61" t="s">
        <v>189</v>
      </c>
      <c r="J124" s="64"/>
      <c r="K124" t="s">
        <v>2</v>
      </c>
      <c r="L124" t="str">
        <f>IF(J124&lt;&gt;"",CONCATENATE("&lt;p&gt;",J124,"&lt;/p&gt;"),"")</f>
        <v/>
      </c>
      <c r="M124" s="65"/>
      <c r="N124" t="str">
        <f t="shared" si="47"/>
        <v/>
      </c>
      <c r="O124" s="61" t="s">
        <v>189</v>
      </c>
      <c r="R124" s="64"/>
      <c r="S124" t="s">
        <v>2</v>
      </c>
      <c r="T124" t="str">
        <f>IF(R124&lt;&gt;"",R124,"")</f>
        <v/>
      </c>
      <c r="U124" s="65"/>
      <c r="V124" t="str">
        <f t="shared" si="45"/>
        <v/>
      </c>
      <c r="W124" s="61" t="s">
        <v>189</v>
      </c>
      <c r="Z124" s="64"/>
      <c r="AA124" t="s">
        <v>2</v>
      </c>
      <c r="AB124" t="str">
        <f>IF(Z124&lt;&gt;"",Z124,"")</f>
        <v/>
      </c>
      <c r="AC124" s="65"/>
    </row>
    <row r="125" customFormat="1" spans="1:29">
      <c r="A125" s="58" t="s">
        <v>189</v>
      </c>
      <c r="B125" s="64"/>
      <c r="C125" t="s">
        <v>117</v>
      </c>
      <c r="D125" s="59"/>
      <c r="E125" s="60"/>
      <c r="F125" t="str">
        <f t="shared" si="87"/>
        <v/>
      </c>
      <c r="G125" s="61" t="str">
        <f t="shared" ref="G125:G127" si="89">""</f>
        <v/>
      </c>
      <c r="L125" t="s">
        <v>117</v>
      </c>
      <c r="M125" s="65"/>
      <c r="N125" t="str">
        <f t="shared" si="47"/>
        <v/>
      </c>
      <c r="O125" s="61" t="str">
        <f t="shared" ref="O125:O127" si="90">""</f>
        <v/>
      </c>
      <c r="T125" t="s">
        <v>117</v>
      </c>
      <c r="U125" s="65"/>
      <c r="V125" t="str">
        <f t="shared" si="45"/>
        <v/>
      </c>
      <c r="W125" s="61" t="str">
        <f t="shared" ref="W125:W127" si="91">""</f>
        <v/>
      </c>
      <c r="AB125" t="s">
        <v>117</v>
      </c>
      <c r="AC125" s="65"/>
    </row>
    <row r="126" customFormat="1" ht="14.55" spans="1:29">
      <c r="A126" s="69" t="str">
        <f t="shared" si="88"/>
        <v/>
      </c>
      <c r="C126" s="49" t="str">
        <f>CONCATENATE("&lt;!-- ",CONCATENATE(B121," ",B122," fin")," --&gt;")</f>
        <v>&lt;!--   fin --&gt;</v>
      </c>
      <c r="D126" s="70"/>
      <c r="E126" s="71"/>
      <c r="F126" t="str">
        <f t="shared" si="87"/>
        <v/>
      </c>
      <c r="G126" s="72" t="str">
        <f t="shared" si="89"/>
        <v/>
      </c>
      <c r="H126" s="49"/>
      <c r="I126" s="49"/>
      <c r="J126" s="49"/>
      <c r="K126" s="49"/>
      <c r="L126" s="49" t="str">
        <f>CONCATENATE("&lt;!-- ",CONCATENATE(J121," ",J122," fin")," --&gt;")</f>
        <v>&lt;!--   fin --&gt;</v>
      </c>
      <c r="M126" s="73"/>
      <c r="N126" t="str">
        <f t="shared" si="47"/>
        <v/>
      </c>
      <c r="O126" s="72" t="str">
        <f t="shared" si="90"/>
        <v/>
      </c>
      <c r="P126" s="49"/>
      <c r="Q126" s="49"/>
      <c r="R126" s="49"/>
      <c r="S126" s="49"/>
      <c r="T126" s="49" t="str">
        <f>CONCATENATE("&lt;!-- ",R121," fin --&gt;")</f>
        <v>&lt;!--  fin --&gt;</v>
      </c>
      <c r="U126" s="73"/>
      <c r="V126" t="str">
        <f t="shared" si="45"/>
        <v/>
      </c>
      <c r="W126" s="72" t="str">
        <f t="shared" si="91"/>
        <v/>
      </c>
      <c r="X126" s="49"/>
      <c r="Y126" s="49"/>
      <c r="Z126" s="49"/>
      <c r="AA126" s="49"/>
      <c r="AB126" s="49" t="str">
        <f>CONCATENATE("&lt;!-- ",Z121," fin --&gt;")</f>
        <v>&lt;!--  fin --&gt;</v>
      </c>
      <c r="AC126" s="73"/>
    </row>
    <row r="127" customFormat="1" ht="14.55" spans="1:29">
      <c r="A127" s="74" t="str">
        <f t="shared" si="88"/>
        <v/>
      </c>
      <c r="B127" s="52"/>
      <c r="C127" s="49" t="str">
        <f>""</f>
        <v/>
      </c>
      <c r="D127" s="49"/>
      <c r="E127" s="49"/>
      <c r="F127" t="str">
        <f t="shared" si="87"/>
        <v/>
      </c>
      <c r="G127" s="61" t="str">
        <f t="shared" si="89"/>
        <v/>
      </c>
      <c r="H127" s="75"/>
      <c r="I127" s="75"/>
      <c r="J127" s="52"/>
      <c r="K127" s="55"/>
      <c r="L127" s="49" t="str">
        <f>""</f>
        <v/>
      </c>
      <c r="N127" t="str">
        <f t="shared" si="47"/>
        <v/>
      </c>
      <c r="O127" s="54" t="str">
        <f t="shared" si="90"/>
        <v/>
      </c>
      <c r="P127" s="55"/>
      <c r="Q127" s="55"/>
      <c r="R127" s="52"/>
      <c r="S127" s="55"/>
      <c r="T127" s="49" t="str">
        <f>""</f>
        <v/>
      </c>
      <c r="V127" t="str">
        <f t="shared" si="45"/>
        <v/>
      </c>
      <c r="W127" s="54" t="str">
        <f t="shared" si="91"/>
        <v/>
      </c>
      <c r="X127" s="55"/>
      <c r="Y127" s="55"/>
      <c r="Z127" s="52"/>
      <c r="AA127" s="55"/>
      <c r="AB127" s="49" t="str">
        <f>""</f>
        <v/>
      </c>
    </row>
    <row r="128" customFormat="1" spans="1:29">
      <c r="A128" s="50" t="str">
        <f>CONCATENATE("Título ",A130)</f>
        <v>Título 19</v>
      </c>
      <c r="B128" s="57"/>
      <c r="C128" s="51" t="str">
        <f>CONCATENATE("&lt;!-- ",CONCATENATE(B128," ",B129)," --&gt;")</f>
        <v>&lt;!--   --&gt;</v>
      </c>
      <c r="D128" s="52"/>
      <c r="E128" s="53" t="str">
        <f>""</f>
        <v/>
      </c>
      <c r="F128" t="str">
        <f t="shared" ref="F128:F134" si="92">""</f>
        <v/>
      </c>
      <c r="G128" s="54" t="str">
        <f>CONCATENATE("Título ",G130)</f>
        <v>Título 19</v>
      </c>
      <c r="H128" s="55"/>
      <c r="I128" s="55"/>
      <c r="J128" s="57"/>
      <c r="K128" s="55" t="s">
        <v>2</v>
      </c>
      <c r="L128" s="51" t="str">
        <f>CONCATENATE("&lt;!-- ",CONCATENATE(J128," ",J129)," --&gt;")</f>
        <v>&lt;!--   --&gt;</v>
      </c>
      <c r="M128" s="56"/>
      <c r="N128" t="str">
        <f t="shared" si="47"/>
        <v/>
      </c>
      <c r="O128" s="54" t="str">
        <f>G128</f>
        <v>Título 19</v>
      </c>
      <c r="P128" s="55"/>
      <c r="Q128" s="55"/>
      <c r="R128" s="57"/>
      <c r="S128" s="55"/>
      <c r="T128" s="55" t="str">
        <f>CONCATENATE("&lt;!-- ",R128," --&gt;")</f>
        <v>&lt;!--  --&gt;</v>
      </c>
      <c r="U128" s="56"/>
      <c r="V128" t="str">
        <f t="shared" ref="V128:V191" si="93">""</f>
        <v/>
      </c>
      <c r="W128" s="54" t="str">
        <f>O128</f>
        <v>Título 19</v>
      </c>
      <c r="X128" s="55"/>
      <c r="Y128" s="55"/>
      <c r="Z128" s="57"/>
      <c r="AA128" s="55"/>
      <c r="AB128" s="55" t="str">
        <f>CONCATENATE("&lt;!-- ",Z128," --&gt;")</f>
        <v>&lt;!--  --&gt;</v>
      </c>
      <c r="AC128" s="56"/>
    </row>
    <row r="129" customFormat="1" ht="14.4" spans="1:29">
      <c r="A129" s="58" t="s">
        <v>186</v>
      </c>
      <c r="C129" t="str">
        <f>IF(B130&lt;&gt;"",CONCATENATE("&lt;div id=",Comilla,B131,Comilla,"&gt;"),"")</f>
        <v/>
      </c>
      <c r="D129" s="59"/>
      <c r="E129" s="60" t="str">
        <f>CONCATENATE(" &lt;a href=",Comilla,"#",B131,Comilla," class=",Comilla,"submenu-item",Comilla,"&gt;",B128,"&lt;/a&gt;")</f>
        <v> &lt;a href="#" class="submenu-item"&gt;&lt;/a&gt;</v>
      </c>
      <c r="F129" t="str">
        <f t="shared" si="92"/>
        <v/>
      </c>
      <c r="G129" s="61" t="s">
        <v>186</v>
      </c>
      <c r="H129" s="62" t="s">
        <v>187</v>
      </c>
      <c r="I129" s="63" t="s">
        <v>188</v>
      </c>
      <c r="J129" s="64"/>
      <c r="L129" t="str">
        <f>IF(J128&lt;&gt;"","&lt;div&gt;","")</f>
        <v/>
      </c>
      <c r="M129" s="65"/>
      <c r="N129" t="str">
        <f t="shared" ref="N129:N192" si="94">""</f>
        <v/>
      </c>
      <c r="O129" s="61" t="s">
        <v>186</v>
      </c>
      <c r="P129" s="62" t="s">
        <v>187</v>
      </c>
      <c r="Q129" s="63" t="s">
        <v>188</v>
      </c>
      <c r="R129"/>
      <c r="S129"/>
      <c r="T129" t="str">
        <f>CONCATENATE(P129,R129,Q129)</f>
        <v>&lt;div &gt;</v>
      </c>
      <c r="U129" s="65"/>
      <c r="V129" t="str">
        <f t="shared" si="93"/>
        <v/>
      </c>
      <c r="W129" s="61" t="s">
        <v>186</v>
      </c>
      <c r="X129" s="62" t="s">
        <v>187</v>
      </c>
      <c r="Y129" s="63" t="s">
        <v>188</v>
      </c>
      <c r="Z129"/>
      <c r="AA129"/>
      <c r="AB129" t="str">
        <f>CONCATENATE(X129,Z129,Y129)</f>
        <v>&lt;div &gt;</v>
      </c>
      <c r="AC129" s="65"/>
    </row>
    <row r="130" customFormat="1" spans="1:29">
      <c r="A130" s="66">
        <f>A123+1</f>
        <v>19</v>
      </c>
      <c r="B130" s="67" t="str">
        <f>IF(B128="","",SUBSTITUTE(SUBSTITUTE(SUBSTITUTE(SUBSTITUTE(SUBSTITUTE(SUBSTITUTE(SUBSTITUTE(SUBSTITUTE(LOWER(CONCATENATE(B128," ",B129))," ","-"),"&lt;",""),"&gt;",""),"ó","o"),"?",""),"¿",""),"é","e"),"á","a"))</f>
        <v/>
      </c>
      <c r="C130" s="68" t="str">
        <f>CONCATENATE("&lt;h3&gt;",SUBSTITUTE(CONCATENATE(B128," ",B129),"&lt;","&amp;lt;"),"&lt;/h3&gt;")</f>
        <v>&lt;h3&gt; &lt;/h3&gt;</v>
      </c>
      <c r="D130" s="59"/>
      <c r="E130" s="60"/>
      <c r="F130" t="str">
        <f t="shared" si="92"/>
        <v/>
      </c>
      <c r="G130" s="61">
        <f>G123+1</f>
        <v>19</v>
      </c>
      <c r="J130" s="59"/>
      <c r="K130" s="59"/>
      <c r="L130" s="68" t="str">
        <f>CONCATENATE("&lt;h4&gt;",SUBSTITUTE(CONCATENATE(J128," ",J129),"&lt;","&amp;lt;"),"&lt;/h4&gt;")</f>
        <v>&lt;h4&gt; &lt;/h4&gt;</v>
      </c>
      <c r="M130" s="65"/>
      <c r="N130" t="str">
        <f t="shared" si="94"/>
        <v/>
      </c>
      <c r="O130" s="61">
        <f>O123+1</f>
        <v>19</v>
      </c>
      <c r="T130" t="str">
        <f>CONCATENATE("&lt;h5&gt;",R128,"&lt;/h5&gt;")</f>
        <v>&lt;h5&gt;&lt;/h5&gt;</v>
      </c>
      <c r="U130" s="65"/>
      <c r="V130" t="str">
        <f t="shared" si="93"/>
        <v/>
      </c>
      <c r="W130" s="61">
        <f>W123+1</f>
        <v>19</v>
      </c>
      <c r="AB130" t="str">
        <f>CONCATENATE("&lt;",$Y$1,"&gt;",Z128,"&lt;/",$Y$1,"&gt;")</f>
        <v>&lt;h6&gt;&lt;/h6&gt;</v>
      </c>
      <c r="AC130" s="65"/>
    </row>
    <row r="131" customFormat="1" spans="1:29">
      <c r="A131" s="58" t="str">
        <f t="shared" ref="A131:A134" si="95">""</f>
        <v/>
      </c>
      <c r="B131" s="67" t="str">
        <f>IF(B130&lt;&gt;"",IF(B129="",LEFT(B130,LEN(B130)-1),B130),"")</f>
        <v/>
      </c>
      <c r="D131" s="59"/>
      <c r="E131" s="60"/>
      <c r="F131" t="str">
        <f t="shared" si="92"/>
        <v/>
      </c>
      <c r="G131" s="61" t="s">
        <v>189</v>
      </c>
      <c r="J131" s="64"/>
      <c r="K131" t="s">
        <v>2</v>
      </c>
      <c r="L131" t="str">
        <f>IF(J131&lt;&gt;"",CONCATENATE("&lt;p&gt;",J131,"&lt;/p&gt;"),"")</f>
        <v/>
      </c>
      <c r="M131" s="65"/>
      <c r="N131" t="str">
        <f t="shared" si="94"/>
        <v/>
      </c>
      <c r="O131" s="61" t="s">
        <v>189</v>
      </c>
      <c r="R131" s="64"/>
      <c r="S131" t="s">
        <v>2</v>
      </c>
      <c r="T131" t="str">
        <f>IF(R131&lt;&gt;"",R131,"")</f>
        <v/>
      </c>
      <c r="U131" s="65"/>
      <c r="V131" t="str">
        <f t="shared" si="93"/>
        <v/>
      </c>
      <c r="W131" s="61" t="s">
        <v>189</v>
      </c>
      <c r="Z131" s="64"/>
      <c r="AA131" t="s">
        <v>2</v>
      </c>
      <c r="AB131" t="str">
        <f>IF(Z131&lt;&gt;"",Z131,"")</f>
        <v/>
      </c>
      <c r="AC131" s="65"/>
    </row>
    <row r="132" customFormat="1" spans="1:29">
      <c r="A132" s="58" t="s">
        <v>189</v>
      </c>
      <c r="B132" s="64"/>
      <c r="C132" t="s">
        <v>117</v>
      </c>
      <c r="D132" s="59"/>
      <c r="E132" s="60"/>
      <c r="F132" t="str">
        <f t="shared" si="92"/>
        <v/>
      </c>
      <c r="G132" s="61" t="str">
        <f t="shared" ref="G132:G134" si="96">""</f>
        <v/>
      </c>
      <c r="L132" t="s">
        <v>117</v>
      </c>
      <c r="M132" s="65"/>
      <c r="N132" t="str">
        <f t="shared" si="94"/>
        <v/>
      </c>
      <c r="O132" s="61" t="str">
        <f t="shared" ref="O132:O134" si="97">""</f>
        <v/>
      </c>
      <c r="T132" t="s">
        <v>117</v>
      </c>
      <c r="U132" s="65"/>
      <c r="V132" t="str">
        <f t="shared" si="93"/>
        <v/>
      </c>
      <c r="W132" s="61" t="str">
        <f t="shared" ref="W132:W134" si="98">""</f>
        <v/>
      </c>
      <c r="AB132" t="s">
        <v>117</v>
      </c>
      <c r="AC132" s="65"/>
    </row>
    <row r="133" customFormat="1" ht="14.55" spans="1:29">
      <c r="A133" s="69" t="str">
        <f t="shared" si="95"/>
        <v/>
      </c>
      <c r="C133" s="49" t="str">
        <f>CONCATENATE("&lt;!-- ",CONCATENATE(B128," ",B129," fin")," --&gt;")</f>
        <v>&lt;!--   fin --&gt;</v>
      </c>
      <c r="D133" s="70"/>
      <c r="E133" s="71"/>
      <c r="F133" t="str">
        <f t="shared" si="92"/>
        <v/>
      </c>
      <c r="G133" s="72" t="str">
        <f t="shared" si="96"/>
        <v/>
      </c>
      <c r="H133" s="49"/>
      <c r="I133" s="49"/>
      <c r="J133" s="49"/>
      <c r="K133" s="49"/>
      <c r="L133" s="49" t="str">
        <f>CONCATENATE("&lt;!-- ",CONCATENATE(J128," ",J129," fin")," --&gt;")</f>
        <v>&lt;!--   fin --&gt;</v>
      </c>
      <c r="M133" s="73"/>
      <c r="N133" t="str">
        <f t="shared" si="94"/>
        <v/>
      </c>
      <c r="O133" s="72" t="str">
        <f t="shared" si="97"/>
        <v/>
      </c>
      <c r="P133" s="49"/>
      <c r="Q133" s="49"/>
      <c r="R133" s="49"/>
      <c r="S133" s="49"/>
      <c r="T133" s="49" t="str">
        <f>CONCATENATE("&lt;!-- ",R128," fin --&gt;")</f>
        <v>&lt;!--  fin --&gt;</v>
      </c>
      <c r="U133" s="73"/>
      <c r="V133" t="str">
        <f t="shared" si="93"/>
        <v/>
      </c>
      <c r="W133" s="72" t="str">
        <f t="shared" si="98"/>
        <v/>
      </c>
      <c r="X133" s="49"/>
      <c r="Y133" s="49"/>
      <c r="Z133" s="49"/>
      <c r="AA133" s="49"/>
      <c r="AB133" s="49" t="str">
        <f>CONCATENATE("&lt;!-- ",Z128," fin --&gt;")</f>
        <v>&lt;!--  fin --&gt;</v>
      </c>
      <c r="AC133" s="73"/>
    </row>
    <row r="134" customFormat="1" ht="14.55" spans="1:29">
      <c r="A134" s="74" t="str">
        <f t="shared" si="95"/>
        <v/>
      </c>
      <c r="B134" s="52"/>
      <c r="C134" s="49" t="str">
        <f>""</f>
        <v/>
      </c>
      <c r="D134" s="49"/>
      <c r="E134" s="49"/>
      <c r="F134" t="str">
        <f t="shared" si="92"/>
        <v/>
      </c>
      <c r="G134" s="61" t="str">
        <f t="shared" si="96"/>
        <v/>
      </c>
      <c r="H134" s="75"/>
      <c r="I134" s="75"/>
      <c r="J134" s="52"/>
      <c r="K134" s="55"/>
      <c r="L134" s="49" t="str">
        <f>""</f>
        <v/>
      </c>
      <c r="N134" t="str">
        <f t="shared" si="94"/>
        <v/>
      </c>
      <c r="O134" s="54" t="str">
        <f t="shared" si="97"/>
        <v/>
      </c>
      <c r="P134" s="55"/>
      <c r="Q134" s="55"/>
      <c r="R134" s="52"/>
      <c r="S134" s="55"/>
      <c r="T134" s="49" t="str">
        <f>""</f>
        <v/>
      </c>
      <c r="V134" t="str">
        <f t="shared" si="93"/>
        <v/>
      </c>
      <c r="W134" s="54" t="str">
        <f t="shared" si="98"/>
        <v/>
      </c>
      <c r="X134" s="55"/>
      <c r="Y134" s="55"/>
      <c r="Z134" s="52"/>
      <c r="AA134" s="55"/>
      <c r="AB134" s="49" t="str">
        <f>""</f>
        <v/>
      </c>
    </row>
    <row r="135" customFormat="1" spans="1:29">
      <c r="A135" s="50" t="str">
        <f>CONCATENATE("Título ",A137)</f>
        <v>Título 20</v>
      </c>
      <c r="B135" s="57"/>
      <c r="C135" s="51" t="str">
        <f>CONCATENATE("&lt;!-- ",CONCATENATE(B135," ",B136)," --&gt;")</f>
        <v>&lt;!--   --&gt;</v>
      </c>
      <c r="D135" s="52"/>
      <c r="E135" s="53" t="str">
        <f>""</f>
        <v/>
      </c>
      <c r="F135" t="str">
        <f t="shared" ref="F135:F141" si="99">""</f>
        <v/>
      </c>
      <c r="G135" s="54" t="str">
        <f>CONCATENATE("Título ",G137)</f>
        <v>Título 20</v>
      </c>
      <c r="H135" s="55"/>
      <c r="I135" s="55"/>
      <c r="J135" s="57"/>
      <c r="K135" s="55" t="s">
        <v>2</v>
      </c>
      <c r="L135" s="51" t="str">
        <f>CONCATENATE("&lt;!-- ",CONCATENATE(J135," ",J136)," --&gt;")</f>
        <v>&lt;!--   --&gt;</v>
      </c>
      <c r="M135" s="56"/>
      <c r="N135" t="str">
        <f t="shared" si="94"/>
        <v/>
      </c>
      <c r="O135" s="54" t="str">
        <f>G135</f>
        <v>Título 20</v>
      </c>
      <c r="P135" s="55"/>
      <c r="Q135" s="55"/>
      <c r="R135" s="57"/>
      <c r="S135" s="55"/>
      <c r="T135" s="55" t="str">
        <f>CONCATENATE("&lt;!-- ",R135," --&gt;")</f>
        <v>&lt;!--  --&gt;</v>
      </c>
      <c r="U135" s="56"/>
      <c r="V135" t="str">
        <f t="shared" si="93"/>
        <v/>
      </c>
      <c r="W135" s="54" t="str">
        <f>O135</f>
        <v>Título 20</v>
      </c>
      <c r="X135" s="55"/>
      <c r="Y135" s="55"/>
      <c r="Z135" s="57"/>
      <c r="AA135" s="55"/>
      <c r="AB135" s="55" t="str">
        <f>CONCATENATE("&lt;!-- ",Z135," --&gt;")</f>
        <v>&lt;!--  --&gt;</v>
      </c>
      <c r="AC135" s="56"/>
    </row>
    <row r="136" customFormat="1" ht="14.4" spans="1:29">
      <c r="A136" s="58" t="s">
        <v>186</v>
      </c>
      <c r="C136" t="str">
        <f>IF(B137&lt;&gt;"",CONCATENATE("&lt;div id=",Comilla,B138,Comilla,"&gt;"),"")</f>
        <v/>
      </c>
      <c r="D136" s="59"/>
      <c r="E136" s="60" t="str">
        <f>CONCATENATE(" &lt;a href=",Comilla,"#",B138,Comilla," class=",Comilla,"submenu-item",Comilla,"&gt;",B135,"&lt;/a&gt;")</f>
        <v> &lt;a href="#" class="submenu-item"&gt;&lt;/a&gt;</v>
      </c>
      <c r="F136" t="str">
        <f t="shared" si="99"/>
        <v/>
      </c>
      <c r="G136" s="61" t="s">
        <v>186</v>
      </c>
      <c r="H136" s="62" t="s">
        <v>187</v>
      </c>
      <c r="I136" s="63" t="s">
        <v>188</v>
      </c>
      <c r="J136" s="64"/>
      <c r="K136"/>
      <c r="L136" t="str">
        <f>IF(J135&lt;&gt;"","&lt;div&gt;","")</f>
        <v/>
      </c>
      <c r="M136" s="65"/>
      <c r="N136" t="str">
        <f t="shared" si="94"/>
        <v/>
      </c>
      <c r="O136" s="61" t="s">
        <v>186</v>
      </c>
      <c r="P136" s="62" t="s">
        <v>187</v>
      </c>
      <c r="Q136" s="63" t="s">
        <v>188</v>
      </c>
      <c r="R136"/>
      <c r="S136"/>
      <c r="T136" t="str">
        <f>CONCATENATE(P136,R136,Q136)</f>
        <v>&lt;div &gt;</v>
      </c>
      <c r="U136" s="65"/>
      <c r="V136" t="str">
        <f t="shared" si="93"/>
        <v/>
      </c>
      <c r="W136" s="61" t="s">
        <v>186</v>
      </c>
      <c r="X136" s="62" t="s">
        <v>187</v>
      </c>
      <c r="Y136" s="63" t="s">
        <v>188</v>
      </c>
      <c r="Z136"/>
      <c r="AA136"/>
      <c r="AB136" t="str">
        <f>CONCATENATE(X136,Z136,Y136)</f>
        <v>&lt;div &gt;</v>
      </c>
      <c r="AC136" s="65"/>
    </row>
    <row r="137" customFormat="1" spans="1:29">
      <c r="A137" s="66">
        <f>A130+1</f>
        <v>20</v>
      </c>
      <c r="B137" s="67" t="str">
        <f>IF(B135="","",SUBSTITUTE(SUBSTITUTE(SUBSTITUTE(SUBSTITUTE(SUBSTITUTE(SUBSTITUTE(SUBSTITUTE(SUBSTITUTE(LOWER(CONCATENATE(B135," ",B136))," ","-"),"&lt;",""),"&gt;",""),"ó","o"),"?",""),"¿",""),"é","e"),"á","a"))</f>
        <v/>
      </c>
      <c r="C137" s="68" t="str">
        <f>CONCATENATE("&lt;h3&gt;",SUBSTITUTE(CONCATENATE(B135," ",B136),"&lt;","&amp;lt;"),"&lt;/h3&gt;")</f>
        <v>&lt;h3&gt; &lt;/h3&gt;</v>
      </c>
      <c r="D137" s="59"/>
      <c r="E137" s="60"/>
      <c r="F137" t="str">
        <f t="shared" si="99"/>
        <v/>
      </c>
      <c r="G137" s="61">
        <f>G130+1</f>
        <v>20</v>
      </c>
      <c r="J137" s="59"/>
      <c r="K137" s="59"/>
      <c r="L137" s="68" t="str">
        <f>CONCATENATE("&lt;h4&gt;",SUBSTITUTE(CONCATENATE(J135," ",J136),"&lt;","&amp;lt;"),"&lt;/h4&gt;")</f>
        <v>&lt;h4&gt; &lt;/h4&gt;</v>
      </c>
      <c r="M137" s="65"/>
      <c r="N137" t="str">
        <f t="shared" si="94"/>
        <v/>
      </c>
      <c r="O137" s="61">
        <f>O130+1</f>
        <v>20</v>
      </c>
      <c r="T137" t="str">
        <f>CONCATENATE("&lt;h5&gt;",R135,"&lt;/h5&gt;")</f>
        <v>&lt;h5&gt;&lt;/h5&gt;</v>
      </c>
      <c r="U137" s="65"/>
      <c r="V137" t="str">
        <f t="shared" si="93"/>
        <v/>
      </c>
      <c r="W137" s="61">
        <f>W130+1</f>
        <v>20</v>
      </c>
      <c r="AB137" t="str">
        <f>CONCATENATE("&lt;",$Y$1,"&gt;",Z135,"&lt;/",$Y$1,"&gt;")</f>
        <v>&lt;h6&gt;&lt;/h6&gt;</v>
      </c>
      <c r="AC137" s="65"/>
    </row>
    <row r="138" customFormat="1" spans="1:29">
      <c r="A138" s="58" t="str">
        <f t="shared" ref="A138:A141" si="100">""</f>
        <v/>
      </c>
      <c r="B138" s="67" t="str">
        <f>IF(B137&lt;&gt;"",IF(B136="",LEFT(B137,LEN(B137)-1),B137),"")</f>
        <v/>
      </c>
      <c r="D138" s="59"/>
      <c r="E138" s="60"/>
      <c r="F138" t="str">
        <f t="shared" si="99"/>
        <v/>
      </c>
      <c r="G138" s="61" t="s">
        <v>189</v>
      </c>
      <c r="J138" s="64"/>
      <c r="K138" t="s">
        <v>2</v>
      </c>
      <c r="L138" t="str">
        <f>IF(J138&lt;&gt;"",CONCATENATE("&lt;p&gt;",J138,"&lt;/p&gt;"),"")</f>
        <v/>
      </c>
      <c r="M138" s="65"/>
      <c r="N138" t="str">
        <f t="shared" si="94"/>
        <v/>
      </c>
      <c r="O138" s="61" t="s">
        <v>189</v>
      </c>
      <c r="R138" s="64"/>
      <c r="S138" t="s">
        <v>2</v>
      </c>
      <c r="T138" t="str">
        <f>IF(R138&lt;&gt;"",R138,"")</f>
        <v/>
      </c>
      <c r="U138" s="65"/>
      <c r="V138" t="str">
        <f t="shared" si="93"/>
        <v/>
      </c>
      <c r="W138" s="61" t="s">
        <v>189</v>
      </c>
      <c r="Z138" s="64"/>
      <c r="AA138" t="s">
        <v>2</v>
      </c>
      <c r="AB138" t="str">
        <f>IF(Z138&lt;&gt;"",Z138,"")</f>
        <v/>
      </c>
      <c r="AC138" s="65"/>
    </row>
    <row r="139" customFormat="1" spans="1:29">
      <c r="A139" s="58" t="s">
        <v>189</v>
      </c>
      <c r="B139" s="64"/>
      <c r="C139" t="s">
        <v>117</v>
      </c>
      <c r="D139" s="59"/>
      <c r="E139" s="60"/>
      <c r="F139" t="str">
        <f t="shared" si="99"/>
        <v/>
      </c>
      <c r="G139" s="61" t="str">
        <f t="shared" ref="G139:G141" si="101">""</f>
        <v/>
      </c>
      <c r="L139" t="s">
        <v>117</v>
      </c>
      <c r="M139" s="65"/>
      <c r="N139" t="str">
        <f t="shared" si="94"/>
        <v/>
      </c>
      <c r="O139" s="61" t="str">
        <f t="shared" ref="O139:O141" si="102">""</f>
        <v/>
      </c>
      <c r="T139" t="s">
        <v>117</v>
      </c>
      <c r="U139" s="65"/>
      <c r="V139" t="str">
        <f t="shared" si="93"/>
        <v/>
      </c>
      <c r="W139" s="61" t="str">
        <f t="shared" ref="W139:W141" si="103">""</f>
        <v/>
      </c>
      <c r="AB139" t="s">
        <v>117</v>
      </c>
      <c r="AC139" s="65"/>
    </row>
    <row r="140" customFormat="1" ht="14.55" spans="1:29">
      <c r="A140" s="69" t="str">
        <f t="shared" si="100"/>
        <v/>
      </c>
      <c r="C140" s="49" t="str">
        <f>CONCATENATE("&lt;!-- ",CONCATENATE(B135," ",B136," fin")," --&gt;")</f>
        <v>&lt;!--   fin --&gt;</v>
      </c>
      <c r="D140" s="70"/>
      <c r="E140" s="71"/>
      <c r="F140" t="str">
        <f t="shared" si="99"/>
        <v/>
      </c>
      <c r="G140" s="72" t="str">
        <f t="shared" si="101"/>
        <v/>
      </c>
      <c r="H140" s="49"/>
      <c r="I140" s="49"/>
      <c r="J140" s="49"/>
      <c r="K140" s="49"/>
      <c r="L140" s="49" t="str">
        <f>CONCATENATE("&lt;!-- ",CONCATENATE(J135," ",J136," fin")," --&gt;")</f>
        <v>&lt;!--   fin --&gt;</v>
      </c>
      <c r="M140" s="73"/>
      <c r="N140" t="str">
        <f t="shared" si="94"/>
        <v/>
      </c>
      <c r="O140" s="72" t="str">
        <f t="shared" si="102"/>
        <v/>
      </c>
      <c r="P140" s="49"/>
      <c r="Q140" s="49"/>
      <c r="R140" s="49"/>
      <c r="S140" s="49"/>
      <c r="T140" s="49" t="str">
        <f>CONCATENATE("&lt;!-- ",R135," fin --&gt;")</f>
        <v>&lt;!--  fin --&gt;</v>
      </c>
      <c r="U140" s="73"/>
      <c r="V140" t="str">
        <f t="shared" si="93"/>
        <v/>
      </c>
      <c r="W140" s="72" t="str">
        <f t="shared" si="103"/>
        <v/>
      </c>
      <c r="X140" s="49"/>
      <c r="Y140" s="49"/>
      <c r="Z140" s="49"/>
      <c r="AA140" s="49"/>
      <c r="AB140" s="49" t="str">
        <f>CONCATENATE("&lt;!-- ",Z135," fin --&gt;")</f>
        <v>&lt;!--  fin --&gt;</v>
      </c>
      <c r="AC140" s="73"/>
    </row>
    <row r="141" customFormat="1" ht="14.55" spans="1:29">
      <c r="A141" s="74" t="str">
        <f t="shared" si="100"/>
        <v/>
      </c>
      <c r="B141" s="52"/>
      <c r="C141" s="49" t="str">
        <f>""</f>
        <v/>
      </c>
      <c r="D141" s="49"/>
      <c r="E141" s="49"/>
      <c r="F141" t="str">
        <f t="shared" si="99"/>
        <v/>
      </c>
      <c r="G141" s="61" t="str">
        <f t="shared" si="101"/>
        <v/>
      </c>
      <c r="H141" s="75"/>
      <c r="I141" s="75"/>
      <c r="J141" s="52"/>
      <c r="K141" s="55"/>
      <c r="L141" s="49" t="str">
        <f>""</f>
        <v/>
      </c>
      <c r="N141" t="str">
        <f t="shared" si="94"/>
        <v/>
      </c>
      <c r="O141" s="54" t="str">
        <f t="shared" si="102"/>
        <v/>
      </c>
      <c r="P141" s="55"/>
      <c r="Q141" s="55"/>
      <c r="R141" s="52"/>
      <c r="S141" s="55"/>
      <c r="T141" s="49" t="str">
        <f>""</f>
        <v/>
      </c>
      <c r="V141" t="str">
        <f t="shared" si="93"/>
        <v/>
      </c>
      <c r="W141" s="54" t="str">
        <f t="shared" si="103"/>
        <v/>
      </c>
      <c r="X141" s="55"/>
      <c r="Y141" s="55"/>
      <c r="Z141" s="52"/>
      <c r="AA141" s="55"/>
      <c r="AB141" s="49" t="str">
        <f>""</f>
        <v/>
      </c>
    </row>
    <row r="142" customFormat="1" spans="1:29">
      <c r="A142" s="50" t="str">
        <f>CONCATENATE("Título ",A144)</f>
        <v>Título 21</v>
      </c>
      <c r="B142" s="57"/>
      <c r="C142" s="51" t="str">
        <f>CONCATENATE("&lt;!-- ",CONCATENATE(B142," ",B143)," --&gt;")</f>
        <v>&lt;!--   --&gt;</v>
      </c>
      <c r="D142" s="52"/>
      <c r="E142" s="53" t="str">
        <f>""</f>
        <v/>
      </c>
      <c r="F142" t="str">
        <f t="shared" ref="F142:F148" si="104">""</f>
        <v/>
      </c>
      <c r="G142" s="54" t="str">
        <f>CONCATENATE("Título ",G144)</f>
        <v>Título 21</v>
      </c>
      <c r="H142" s="55"/>
      <c r="I142" s="55"/>
      <c r="J142" s="57"/>
      <c r="K142" s="55" t="s">
        <v>2</v>
      </c>
      <c r="L142" s="51" t="str">
        <f>CONCATENATE("&lt;!-- ",CONCATENATE(J142," ",J143)," --&gt;")</f>
        <v>&lt;!--   --&gt;</v>
      </c>
      <c r="M142" s="56"/>
      <c r="N142" t="str">
        <f t="shared" si="94"/>
        <v/>
      </c>
      <c r="O142" s="54" t="str">
        <f>G142</f>
        <v>Título 21</v>
      </c>
      <c r="P142" s="55"/>
      <c r="Q142" s="55"/>
      <c r="R142" s="57"/>
      <c r="S142" s="55"/>
      <c r="T142" s="55" t="str">
        <f>CONCATENATE("&lt;!-- ",R142," --&gt;")</f>
        <v>&lt;!--  --&gt;</v>
      </c>
      <c r="U142" s="56"/>
      <c r="V142" t="str">
        <f t="shared" si="93"/>
        <v/>
      </c>
      <c r="W142" s="54" t="str">
        <f>O142</f>
        <v>Título 21</v>
      </c>
      <c r="X142" s="55"/>
      <c r="Y142" s="55"/>
      <c r="Z142" s="57"/>
      <c r="AA142" s="55"/>
      <c r="AB142" s="55" t="str">
        <f>CONCATENATE("&lt;!-- ",Z142," --&gt;")</f>
        <v>&lt;!--  --&gt;</v>
      </c>
      <c r="AC142" s="56"/>
    </row>
    <row r="143" customFormat="1" ht="14.4" spans="1:29">
      <c r="A143" s="58" t="s">
        <v>186</v>
      </c>
      <c r="C143" t="str">
        <f>IF(B144&lt;&gt;"",CONCATENATE("&lt;div id=",Comilla,B145,Comilla,"&gt;"),"")</f>
        <v/>
      </c>
      <c r="D143" s="59"/>
      <c r="E143" s="60" t="str">
        <f>CONCATENATE(" &lt;a href=",Comilla,"#",B145,Comilla," class=",Comilla,"submenu-item",Comilla,"&gt;",B142,"&lt;/a&gt;")</f>
        <v> &lt;a href="#" class="submenu-item"&gt;&lt;/a&gt;</v>
      </c>
      <c r="F143" t="str">
        <f t="shared" si="104"/>
        <v/>
      </c>
      <c r="G143" s="61" t="s">
        <v>186</v>
      </c>
      <c r="H143" s="62" t="s">
        <v>187</v>
      </c>
      <c r="I143" s="63" t="s">
        <v>188</v>
      </c>
      <c r="J143" s="64"/>
      <c r="K143"/>
      <c r="L143" t="str">
        <f>IF(J142&lt;&gt;"","&lt;div&gt;","")</f>
        <v/>
      </c>
      <c r="M143" s="65"/>
      <c r="N143" t="str">
        <f t="shared" si="94"/>
        <v/>
      </c>
      <c r="O143" s="61" t="s">
        <v>186</v>
      </c>
      <c r="P143" s="62" t="s">
        <v>187</v>
      </c>
      <c r="Q143" s="63" t="s">
        <v>188</v>
      </c>
      <c r="R143"/>
      <c r="S143"/>
      <c r="T143" t="str">
        <f>CONCATENATE(P143,R143,Q143)</f>
        <v>&lt;div &gt;</v>
      </c>
      <c r="U143" s="65"/>
      <c r="V143" t="str">
        <f t="shared" si="93"/>
        <v/>
      </c>
      <c r="W143" s="61" t="s">
        <v>186</v>
      </c>
      <c r="X143" s="62" t="s">
        <v>187</v>
      </c>
      <c r="Y143" s="63" t="s">
        <v>188</v>
      </c>
      <c r="Z143"/>
      <c r="AA143"/>
      <c r="AB143" t="str">
        <f>CONCATENATE(X143,Z143,Y143)</f>
        <v>&lt;div &gt;</v>
      </c>
      <c r="AC143" s="65"/>
    </row>
    <row r="144" customFormat="1" spans="1:29">
      <c r="A144" s="66">
        <f>A137+1</f>
        <v>21</v>
      </c>
      <c r="B144" s="67" t="str">
        <f>IF(B142="","",SUBSTITUTE(SUBSTITUTE(SUBSTITUTE(SUBSTITUTE(SUBSTITUTE(SUBSTITUTE(SUBSTITUTE(SUBSTITUTE(LOWER(CONCATENATE(B142," ",B143))," ","-"),"&lt;",""),"&gt;",""),"ó","o"),"?",""),"¿",""),"é","e"),"á","a"))</f>
        <v/>
      </c>
      <c r="C144" s="68" t="str">
        <f>CONCATENATE("&lt;h3&gt;",SUBSTITUTE(CONCATENATE(B142," ",B143),"&lt;","&amp;lt;"),"&lt;/h3&gt;")</f>
        <v>&lt;h3&gt; &lt;/h3&gt;</v>
      </c>
      <c r="D144" s="59"/>
      <c r="E144" s="60"/>
      <c r="F144" t="str">
        <f t="shared" si="104"/>
        <v/>
      </c>
      <c r="G144" s="61">
        <f>G137+1</f>
        <v>21</v>
      </c>
      <c r="J144" s="59"/>
      <c r="K144" s="59"/>
      <c r="L144" s="68" t="str">
        <f>CONCATENATE("&lt;h4&gt;",SUBSTITUTE(CONCATENATE(J142," ",J143),"&lt;","&amp;lt;"),"&lt;/h4&gt;")</f>
        <v>&lt;h4&gt; &lt;/h4&gt;</v>
      </c>
      <c r="M144" s="65"/>
      <c r="N144" t="str">
        <f t="shared" si="94"/>
        <v/>
      </c>
      <c r="O144" s="61">
        <f>O137+1</f>
        <v>21</v>
      </c>
      <c r="T144" t="str">
        <f>CONCATENATE("&lt;h5&gt;",R142,"&lt;/h5&gt;")</f>
        <v>&lt;h5&gt;&lt;/h5&gt;</v>
      </c>
      <c r="U144" s="65"/>
      <c r="V144" t="str">
        <f t="shared" si="93"/>
        <v/>
      </c>
      <c r="W144" s="61">
        <f>W137+1</f>
        <v>21</v>
      </c>
      <c r="AB144" t="str">
        <f>CONCATENATE("&lt;",$Y$1,"&gt;",Z142,"&lt;/",$Y$1,"&gt;")</f>
        <v>&lt;h6&gt;&lt;/h6&gt;</v>
      </c>
      <c r="AC144" s="65"/>
    </row>
    <row r="145" customFormat="1" spans="1:29">
      <c r="A145" s="58" t="str">
        <f t="shared" ref="A145:A148" si="105">""</f>
        <v/>
      </c>
      <c r="B145" s="67" t="str">
        <f>IF(B144&lt;&gt;"",IF(B143="",LEFT(B144,LEN(B144)-1),B144),"")</f>
        <v/>
      </c>
      <c r="D145" s="59"/>
      <c r="E145" s="60"/>
      <c r="F145" t="str">
        <f t="shared" si="104"/>
        <v/>
      </c>
      <c r="G145" s="61" t="s">
        <v>189</v>
      </c>
      <c r="H145"/>
      <c r="I145"/>
      <c r="J145" s="64"/>
      <c r="K145" t="s">
        <v>2</v>
      </c>
      <c r="L145" t="str">
        <f>IF(J145&lt;&gt;"",CONCATENATE("&lt;p&gt;",J145,"&lt;/p&gt;"),"")</f>
        <v/>
      </c>
      <c r="M145" s="65"/>
      <c r="N145" t="str">
        <f t="shared" si="94"/>
        <v/>
      </c>
      <c r="O145" s="61" t="s">
        <v>189</v>
      </c>
      <c r="P145"/>
      <c r="Q145"/>
      <c r="R145" s="64"/>
      <c r="S145" t="s">
        <v>2</v>
      </c>
      <c r="T145" t="str">
        <f>IF(R145&lt;&gt;"",R145,"")</f>
        <v/>
      </c>
      <c r="U145" s="65"/>
      <c r="V145" t="str">
        <f t="shared" si="93"/>
        <v/>
      </c>
      <c r="W145" s="61" t="s">
        <v>189</v>
      </c>
      <c r="X145"/>
      <c r="Y145"/>
      <c r="Z145" s="64"/>
      <c r="AA145" t="s">
        <v>2</v>
      </c>
      <c r="AB145" t="str">
        <f>IF(Z145&lt;&gt;"",Z145,"")</f>
        <v/>
      </c>
      <c r="AC145" s="65"/>
    </row>
    <row r="146" customFormat="1" spans="1:29">
      <c r="A146" s="58" t="s">
        <v>189</v>
      </c>
      <c r="B146" s="64"/>
      <c r="C146" t="s">
        <v>117</v>
      </c>
      <c r="D146" s="59"/>
      <c r="E146" s="60"/>
      <c r="F146" t="str">
        <f t="shared" si="104"/>
        <v/>
      </c>
      <c r="G146" s="61" t="str">
        <f t="shared" ref="G146:G148" si="106">""</f>
        <v/>
      </c>
      <c r="L146" t="s">
        <v>117</v>
      </c>
      <c r="M146" s="65"/>
      <c r="N146" t="str">
        <f t="shared" si="94"/>
        <v/>
      </c>
      <c r="O146" s="61" t="str">
        <f t="shared" ref="O146:O148" si="107">""</f>
        <v/>
      </c>
      <c r="T146" t="s">
        <v>117</v>
      </c>
      <c r="U146" s="65"/>
      <c r="V146" t="str">
        <f t="shared" si="93"/>
        <v/>
      </c>
      <c r="W146" s="61" t="str">
        <f t="shared" ref="W146:W148" si="108">""</f>
        <v/>
      </c>
      <c r="AB146" t="s">
        <v>117</v>
      </c>
      <c r="AC146" s="65"/>
    </row>
    <row r="147" customFormat="1" ht="14.55" spans="1:29">
      <c r="A147" s="69" t="str">
        <f t="shared" si="105"/>
        <v/>
      </c>
      <c r="C147" s="49" t="str">
        <f>CONCATENATE("&lt;!-- ",CONCATENATE(B142," ",B143," fin")," --&gt;")</f>
        <v>&lt;!--   fin --&gt;</v>
      </c>
      <c r="D147" s="70"/>
      <c r="E147" s="71"/>
      <c r="F147" t="str">
        <f t="shared" si="104"/>
        <v/>
      </c>
      <c r="G147" s="72" t="str">
        <f t="shared" si="106"/>
        <v/>
      </c>
      <c r="H147" s="49"/>
      <c r="I147" s="49"/>
      <c r="J147" s="49"/>
      <c r="K147" s="49"/>
      <c r="L147" s="49" t="str">
        <f>CONCATENATE("&lt;!-- ",CONCATENATE(J142," ",J143," fin")," --&gt;")</f>
        <v>&lt;!--   fin --&gt;</v>
      </c>
      <c r="M147" s="73"/>
      <c r="N147" t="str">
        <f t="shared" si="94"/>
        <v/>
      </c>
      <c r="O147" s="72" t="str">
        <f t="shared" si="107"/>
        <v/>
      </c>
      <c r="P147" s="49"/>
      <c r="Q147" s="49"/>
      <c r="R147" s="49"/>
      <c r="S147" s="49"/>
      <c r="T147" s="49" t="str">
        <f>CONCATENATE("&lt;!-- ",R142," fin --&gt;")</f>
        <v>&lt;!--  fin --&gt;</v>
      </c>
      <c r="U147" s="73"/>
      <c r="V147" t="str">
        <f t="shared" si="93"/>
        <v/>
      </c>
      <c r="W147" s="72" t="str">
        <f t="shared" si="108"/>
        <v/>
      </c>
      <c r="X147" s="49"/>
      <c r="Y147" s="49"/>
      <c r="Z147" s="49"/>
      <c r="AA147" s="49"/>
      <c r="AB147" s="49" t="str">
        <f>CONCATENATE("&lt;!-- ",Z142," fin --&gt;")</f>
        <v>&lt;!--  fin --&gt;</v>
      </c>
      <c r="AC147" s="73"/>
    </row>
    <row r="148" customFormat="1" ht="14.55" spans="1:29">
      <c r="A148" s="74" t="str">
        <f t="shared" si="105"/>
        <v/>
      </c>
      <c r="B148" s="52"/>
      <c r="C148" s="49" t="str">
        <f>""</f>
        <v/>
      </c>
      <c r="D148" s="49"/>
      <c r="E148" s="49"/>
      <c r="F148" t="str">
        <f t="shared" si="104"/>
        <v/>
      </c>
      <c r="G148" s="61" t="str">
        <f t="shared" si="106"/>
        <v/>
      </c>
      <c r="H148" s="75"/>
      <c r="I148" s="75"/>
      <c r="J148" s="52"/>
      <c r="K148" s="55"/>
      <c r="L148" s="49" t="str">
        <f>""</f>
        <v/>
      </c>
      <c r="N148" t="str">
        <f t="shared" si="94"/>
        <v/>
      </c>
      <c r="O148" s="54" t="str">
        <f t="shared" si="107"/>
        <v/>
      </c>
      <c r="P148" s="55"/>
      <c r="Q148" s="55"/>
      <c r="R148" s="52"/>
      <c r="S148" s="55"/>
      <c r="T148" s="49" t="str">
        <f>""</f>
        <v/>
      </c>
      <c r="V148" t="str">
        <f t="shared" si="93"/>
        <v/>
      </c>
      <c r="W148" s="54" t="str">
        <f t="shared" si="108"/>
        <v/>
      </c>
      <c r="X148" s="55"/>
      <c r="Y148" s="55"/>
      <c r="Z148" s="52"/>
      <c r="AA148" s="55"/>
      <c r="AB148" s="49" t="str">
        <f>""</f>
        <v/>
      </c>
    </row>
    <row r="149" customFormat="1" spans="1:29">
      <c r="A149" s="50" t="str">
        <f>CONCATENATE("Título ",A151)</f>
        <v>Título 22</v>
      </c>
      <c r="B149" s="57"/>
      <c r="C149" s="51" t="str">
        <f>CONCATENATE("&lt;!-- ",CONCATENATE(B149," ",B150)," --&gt;")</f>
        <v>&lt;!--   --&gt;</v>
      </c>
      <c r="D149" s="52"/>
      <c r="E149" s="53" t="str">
        <f>""</f>
        <v/>
      </c>
      <c r="F149" t="str">
        <f t="shared" ref="F149:F155" si="109">""</f>
        <v/>
      </c>
      <c r="G149" s="54" t="str">
        <f>CONCATENATE("Título ",G151)</f>
        <v>Título 22</v>
      </c>
      <c r="H149" s="55"/>
      <c r="I149" s="55"/>
      <c r="J149" s="57"/>
      <c r="K149" s="55" t="s">
        <v>2</v>
      </c>
      <c r="L149" s="51" t="str">
        <f>CONCATENATE("&lt;!-- ",CONCATENATE(J149," ",J150)," --&gt;")</f>
        <v>&lt;!--   --&gt;</v>
      </c>
      <c r="M149" s="56"/>
      <c r="N149" t="str">
        <f t="shared" si="94"/>
        <v/>
      </c>
      <c r="O149" s="54" t="str">
        <f>G149</f>
        <v>Título 22</v>
      </c>
      <c r="P149" s="55"/>
      <c r="Q149" s="55"/>
      <c r="R149" s="57"/>
      <c r="S149" s="55"/>
      <c r="T149" s="55" t="str">
        <f>CONCATENATE("&lt;!-- ",R149," --&gt;")</f>
        <v>&lt;!--  --&gt;</v>
      </c>
      <c r="U149" s="56"/>
      <c r="V149" t="str">
        <f t="shared" si="93"/>
        <v/>
      </c>
      <c r="W149" s="54" t="str">
        <f>O149</f>
        <v>Título 22</v>
      </c>
      <c r="X149" s="55"/>
      <c r="Y149" s="55"/>
      <c r="Z149" s="57"/>
      <c r="AA149" s="55"/>
      <c r="AB149" s="55" t="str">
        <f>CONCATENATE("&lt;!-- ",Z149," --&gt;")</f>
        <v>&lt;!--  --&gt;</v>
      </c>
      <c r="AC149" s="56"/>
    </row>
    <row r="150" customFormat="1" ht="14.4" spans="1:29">
      <c r="A150" s="58" t="s">
        <v>186</v>
      </c>
      <c r="C150" t="str">
        <f>IF(B151&lt;&gt;"",CONCATENATE("&lt;div id=",Comilla,B152,Comilla,"&gt;"),"")</f>
        <v/>
      </c>
      <c r="D150" s="59"/>
      <c r="E150" s="60" t="str">
        <f>CONCATENATE(" &lt;a href=",Comilla,"#",B152,Comilla," class=",Comilla,"submenu-item",Comilla,"&gt;",B149,"&lt;/a&gt;")</f>
        <v> &lt;a href="#" class="submenu-item"&gt;&lt;/a&gt;</v>
      </c>
      <c r="F150" t="str">
        <f t="shared" si="109"/>
        <v/>
      </c>
      <c r="G150" s="61" t="s">
        <v>186</v>
      </c>
      <c r="H150" s="62" t="s">
        <v>187</v>
      </c>
      <c r="I150" s="63" t="s">
        <v>188</v>
      </c>
      <c r="J150"/>
      <c r="K150"/>
      <c r="L150" t="str">
        <f>IF(J149&lt;&gt;"","&lt;div&gt;","")</f>
        <v/>
      </c>
      <c r="M150" s="65"/>
      <c r="N150" t="str">
        <f t="shared" si="94"/>
        <v/>
      </c>
      <c r="O150" s="61" t="s">
        <v>186</v>
      </c>
      <c r="P150" s="62" t="s">
        <v>187</v>
      </c>
      <c r="Q150" s="63" t="s">
        <v>188</v>
      </c>
      <c r="R150"/>
      <c r="S150"/>
      <c r="T150" t="str">
        <f>CONCATENATE(P150,R150,Q150)</f>
        <v>&lt;div &gt;</v>
      </c>
      <c r="U150" s="65"/>
      <c r="V150" t="str">
        <f t="shared" si="93"/>
        <v/>
      </c>
      <c r="W150" s="61" t="s">
        <v>186</v>
      </c>
      <c r="X150" s="62" t="s">
        <v>187</v>
      </c>
      <c r="Y150" s="63" t="s">
        <v>188</v>
      </c>
      <c r="Z150"/>
      <c r="AA150"/>
      <c r="AB150" t="str">
        <f>CONCATENATE(X150,Z150,Y150)</f>
        <v>&lt;div &gt;</v>
      </c>
      <c r="AC150" s="65"/>
    </row>
    <row r="151" customFormat="1" spans="1:29">
      <c r="A151" s="66">
        <f>A144+1</f>
        <v>22</v>
      </c>
      <c r="B151" s="67" t="str">
        <f>IF(B149="","",SUBSTITUTE(SUBSTITUTE(SUBSTITUTE(SUBSTITUTE(SUBSTITUTE(SUBSTITUTE(SUBSTITUTE(SUBSTITUTE(LOWER(CONCATENATE(B149," ",B150))," ","-"),"&lt;",""),"&gt;",""),"ó","o"),"?",""),"¿",""),"é","e"),"á","a"))</f>
        <v/>
      </c>
      <c r="C151" s="68" t="str">
        <f>CONCATENATE("&lt;h3&gt;",SUBSTITUTE(CONCATENATE(B149," ",B150),"&lt;","&amp;lt;"),"&lt;/h3&gt;")</f>
        <v>&lt;h3&gt; &lt;/h3&gt;</v>
      </c>
      <c r="D151" s="59"/>
      <c r="E151" s="60"/>
      <c r="F151" t="str">
        <f t="shared" si="109"/>
        <v/>
      </c>
      <c r="G151" s="61">
        <f>G144+1</f>
        <v>22</v>
      </c>
      <c r="J151" s="59"/>
      <c r="K151" s="59"/>
      <c r="L151" s="68" t="str">
        <f>CONCATENATE("&lt;h4&gt;",SUBSTITUTE(CONCATENATE(J149," ",J150),"&lt;","&amp;lt;"),"&lt;/h4&gt;")</f>
        <v>&lt;h4&gt; &lt;/h4&gt;</v>
      </c>
      <c r="M151" s="65"/>
      <c r="N151" t="str">
        <f t="shared" si="94"/>
        <v/>
      </c>
      <c r="O151" s="61">
        <f>O144+1</f>
        <v>22</v>
      </c>
      <c r="T151" t="str">
        <f>CONCATENATE("&lt;h5&gt;",R149,"&lt;/h5&gt;")</f>
        <v>&lt;h5&gt;&lt;/h5&gt;</v>
      </c>
      <c r="U151" s="65"/>
      <c r="V151" t="str">
        <f t="shared" si="93"/>
        <v/>
      </c>
      <c r="W151" s="61">
        <f>W144+1</f>
        <v>22</v>
      </c>
      <c r="AB151" t="str">
        <f>CONCATENATE("&lt;",$Y$1,"&gt;",Z149,"&lt;/",$Y$1,"&gt;")</f>
        <v>&lt;h6&gt;&lt;/h6&gt;</v>
      </c>
      <c r="AC151" s="65"/>
    </row>
    <row r="152" customFormat="1" spans="1:29">
      <c r="A152" s="58" t="str">
        <f t="shared" ref="A152:A155" si="110">""</f>
        <v/>
      </c>
      <c r="B152" s="67" t="str">
        <f>IF(B151&lt;&gt;"",IF(B150="",LEFT(B151,LEN(B151)-1),B151),"")</f>
        <v/>
      </c>
      <c r="D152" s="59"/>
      <c r="E152" s="60"/>
      <c r="F152" t="str">
        <f t="shared" si="109"/>
        <v/>
      </c>
      <c r="G152" s="61" t="s">
        <v>189</v>
      </c>
      <c r="H152"/>
      <c r="I152"/>
      <c r="J152" s="64"/>
      <c r="K152" t="s">
        <v>2</v>
      </c>
      <c r="L152" t="str">
        <f>IF(J152&lt;&gt;"",CONCATENATE("&lt;p&gt;",J152,"&lt;/p&gt;"),"")</f>
        <v/>
      </c>
      <c r="M152" s="65"/>
      <c r="N152" t="str">
        <f t="shared" si="94"/>
        <v/>
      </c>
      <c r="O152" s="61" t="s">
        <v>189</v>
      </c>
      <c r="P152"/>
      <c r="Q152"/>
      <c r="R152" s="64"/>
      <c r="S152" t="s">
        <v>2</v>
      </c>
      <c r="T152" t="str">
        <f>IF(R152&lt;&gt;"",R152,"")</f>
        <v/>
      </c>
      <c r="U152" s="65"/>
      <c r="V152" t="str">
        <f t="shared" si="93"/>
        <v/>
      </c>
      <c r="W152" s="61" t="s">
        <v>189</v>
      </c>
      <c r="X152"/>
      <c r="Y152"/>
      <c r="Z152" s="64"/>
      <c r="AA152" t="s">
        <v>2</v>
      </c>
      <c r="AB152" t="str">
        <f>IF(Z152&lt;&gt;"",Z152,"")</f>
        <v/>
      </c>
      <c r="AC152" s="65"/>
    </row>
    <row r="153" spans="1:29">
      <c r="A153" s="58" t="s">
        <v>189</v>
      </c>
      <c r="B153" s="64"/>
      <c r="C153" t="s">
        <v>117</v>
      </c>
      <c r="D153" s="59"/>
      <c r="E153" s="60"/>
      <c r="F153" t="str">
        <f t="shared" si="109"/>
        <v/>
      </c>
      <c r="G153" s="61" t="str">
        <f t="shared" ref="G153:G155" si="111">""</f>
        <v/>
      </c>
      <c r="L153" t="s">
        <v>117</v>
      </c>
      <c r="M153" s="65"/>
      <c r="N153" t="str">
        <f t="shared" si="94"/>
        <v/>
      </c>
      <c r="O153" s="61" t="str">
        <f t="shared" ref="O153:O155" si="112">""</f>
        <v/>
      </c>
      <c r="T153" t="s">
        <v>117</v>
      </c>
      <c r="U153" s="65"/>
      <c r="V153" t="str">
        <f t="shared" si="93"/>
        <v/>
      </c>
      <c r="W153" s="61" t="str">
        <f t="shared" ref="W153:W155" si="113">""</f>
        <v/>
      </c>
      <c r="AB153" t="s">
        <v>117</v>
      </c>
      <c r="AC153" s="65"/>
    </row>
    <row r="154" ht="14.55" spans="1:29">
      <c r="A154" s="69" t="str">
        <f t="shared" si="110"/>
        <v/>
      </c>
      <c r="C154" s="49" t="str">
        <f>CONCATENATE("&lt;!-- ",CONCATENATE(B149," ",B150," fin")," --&gt;")</f>
        <v>&lt;!--   fin --&gt;</v>
      </c>
      <c r="D154" s="70"/>
      <c r="E154" s="71"/>
      <c r="F154" t="str">
        <f t="shared" si="109"/>
        <v/>
      </c>
      <c r="G154" s="72" t="str">
        <f t="shared" si="111"/>
        <v/>
      </c>
      <c r="H154" s="49"/>
      <c r="I154" s="49"/>
      <c r="J154" s="49"/>
      <c r="K154" s="49"/>
      <c r="L154" s="49" t="str">
        <f>CONCATENATE("&lt;!-- ",CONCATENATE(J149," ",J150," fin")," --&gt;")</f>
        <v>&lt;!--   fin --&gt;</v>
      </c>
      <c r="M154" s="73"/>
      <c r="N154" t="str">
        <f t="shared" si="94"/>
        <v/>
      </c>
      <c r="O154" s="72" t="str">
        <f t="shared" si="112"/>
        <v/>
      </c>
      <c r="P154" s="49"/>
      <c r="Q154" s="49"/>
      <c r="R154" s="49"/>
      <c r="S154" s="49"/>
      <c r="T154" s="49" t="str">
        <f>CONCATENATE("&lt;!-- ",R149," fin --&gt;")</f>
        <v>&lt;!--  fin --&gt;</v>
      </c>
      <c r="U154" s="73"/>
      <c r="V154" t="str">
        <f t="shared" si="93"/>
        <v/>
      </c>
      <c r="W154" s="72" t="str">
        <f t="shared" si="113"/>
        <v/>
      </c>
      <c r="X154" s="49"/>
      <c r="Y154" s="49"/>
      <c r="Z154" s="49"/>
      <c r="AA154" s="49"/>
      <c r="AB154" s="49" t="str">
        <f>CONCATENATE("&lt;!-- ",Z149," fin --&gt;")</f>
        <v>&lt;!--  fin --&gt;</v>
      </c>
      <c r="AC154" s="73"/>
    </row>
    <row r="155" ht="14.55" spans="1:29">
      <c r="A155" s="74" t="str">
        <f t="shared" si="110"/>
        <v/>
      </c>
      <c r="B155" s="52"/>
      <c r="C155" s="49" t="str">
        <f>""</f>
        <v/>
      </c>
      <c r="D155" s="49"/>
      <c r="E155" s="49"/>
      <c r="F155" t="str">
        <f t="shared" si="109"/>
        <v/>
      </c>
      <c r="G155" s="61" t="str">
        <f t="shared" si="111"/>
        <v/>
      </c>
      <c r="H155" s="75"/>
      <c r="I155" s="75"/>
      <c r="J155" s="52"/>
      <c r="K155" s="55"/>
      <c r="L155" s="49" t="str">
        <f>""</f>
        <v/>
      </c>
      <c r="N155" t="str">
        <f t="shared" si="94"/>
        <v/>
      </c>
      <c r="O155" s="54" t="str">
        <f t="shared" si="112"/>
        <v/>
      </c>
      <c r="P155" s="55"/>
      <c r="Q155" s="55"/>
      <c r="R155" s="52"/>
      <c r="S155" s="55"/>
      <c r="T155" s="49" t="str">
        <f>""</f>
        <v/>
      </c>
      <c r="V155" t="str">
        <f t="shared" si="93"/>
        <v/>
      </c>
      <c r="W155" s="54" t="str">
        <f t="shared" si="113"/>
        <v/>
      </c>
      <c r="X155" s="55"/>
      <c r="Y155" s="55"/>
      <c r="Z155" s="52"/>
      <c r="AA155" s="55"/>
      <c r="AB155" s="49" t="str">
        <f>""</f>
        <v/>
      </c>
    </row>
    <row r="156" spans="1:29">
      <c r="A156" s="50" t="str">
        <f>CONCATENATE("Título ",A158)</f>
        <v>Título 23</v>
      </c>
      <c r="B156" s="57"/>
      <c r="C156" s="51" t="str">
        <f>CONCATENATE("&lt;!-- ",CONCATENATE(B156," ",B157)," --&gt;")</f>
        <v>&lt;!--   --&gt;</v>
      </c>
      <c r="D156" s="52"/>
      <c r="E156" s="53" t="str">
        <f>""</f>
        <v/>
      </c>
      <c r="F156" t="str">
        <f t="shared" ref="F156:F162" si="114">""</f>
        <v/>
      </c>
      <c r="G156" s="54" t="str">
        <f>CONCATENATE("Título ",G158)</f>
        <v>Título 23</v>
      </c>
      <c r="H156" s="55"/>
      <c r="I156" s="55"/>
      <c r="J156" s="57"/>
      <c r="K156" s="55" t="s">
        <v>2</v>
      </c>
      <c r="L156" s="51" t="str">
        <f>CONCATENATE("&lt;!-- ",CONCATENATE(J156," ",J157)," --&gt;")</f>
        <v>&lt;!--   --&gt;</v>
      </c>
      <c r="M156" s="56"/>
      <c r="N156" t="str">
        <f t="shared" si="94"/>
        <v/>
      </c>
      <c r="O156" s="54" t="str">
        <f>G156</f>
        <v>Título 23</v>
      </c>
      <c r="P156" s="55"/>
      <c r="Q156" s="55"/>
      <c r="R156" s="57"/>
      <c r="S156" s="55"/>
      <c r="T156" s="55" t="str">
        <f>CONCATENATE("&lt;!-- ",R156," --&gt;")</f>
        <v>&lt;!--  --&gt;</v>
      </c>
      <c r="U156" s="56"/>
      <c r="V156" t="str">
        <f t="shared" si="93"/>
        <v/>
      </c>
      <c r="W156" s="54" t="str">
        <f>O156</f>
        <v>Título 23</v>
      </c>
      <c r="X156" s="55"/>
      <c r="Y156" s="55"/>
      <c r="Z156" s="57"/>
      <c r="AA156" s="55"/>
      <c r="AB156" s="55" t="str">
        <f>CONCATENATE("&lt;!-- ",Z156," --&gt;")</f>
        <v>&lt;!--  --&gt;</v>
      </c>
      <c r="AC156" s="56"/>
    </row>
    <row r="157" ht="14.4" spans="1:29">
      <c r="A157" s="58" t="s">
        <v>186</v>
      </c>
      <c r="C157" t="str">
        <f>IF(B158&lt;&gt;"",CONCATENATE("&lt;div id=",Comilla,B159,Comilla,"&gt;"),"")</f>
        <v/>
      </c>
      <c r="D157" s="59"/>
      <c r="E157" s="60" t="str">
        <f>CONCATENATE(" &lt;a href=",Comilla,"#",B159,Comilla," class=",Comilla,"submenu-item",Comilla,"&gt;",B156,"&lt;/a&gt;")</f>
        <v> &lt;a href="#" class="submenu-item"&gt;&lt;/a&gt;</v>
      </c>
      <c r="F157" t="str">
        <f t="shared" si="114"/>
        <v/>
      </c>
      <c r="G157" s="61" t="s">
        <v>186</v>
      </c>
      <c r="H157" s="62" t="s">
        <v>187</v>
      </c>
      <c r="I157" s="63" t="s">
        <v>188</v>
      </c>
      <c r="J157" s="64"/>
      <c r="L157" t="str">
        <f>IF(J156&lt;&gt;"","&lt;div&gt;","")</f>
        <v/>
      </c>
      <c r="M157" s="65"/>
      <c r="N157" t="str">
        <f t="shared" si="94"/>
        <v/>
      </c>
      <c r="O157" s="61" t="s">
        <v>186</v>
      </c>
      <c r="P157" s="62" t="s">
        <v>187</v>
      </c>
      <c r="Q157" s="63" t="s">
        <v>188</v>
      </c>
      <c r="T157" t="str">
        <f>CONCATENATE(P157,R157,Q157)</f>
        <v>&lt;div &gt;</v>
      </c>
      <c r="U157" s="65"/>
      <c r="V157" t="str">
        <f t="shared" si="93"/>
        <v/>
      </c>
      <c r="W157" s="61" t="s">
        <v>186</v>
      </c>
      <c r="X157" s="62" t="s">
        <v>187</v>
      </c>
      <c r="Y157" s="63" t="s">
        <v>188</v>
      </c>
      <c r="AB157" t="str">
        <f>CONCATENATE(X157,Z157,Y157)</f>
        <v>&lt;div &gt;</v>
      </c>
      <c r="AC157" s="65"/>
    </row>
    <row r="158" spans="1:29">
      <c r="A158" s="66">
        <f>A151+1</f>
        <v>23</v>
      </c>
      <c r="B158" s="67" t="str">
        <f>IF(B156="","",SUBSTITUTE(SUBSTITUTE(SUBSTITUTE(SUBSTITUTE(SUBSTITUTE(SUBSTITUTE(SUBSTITUTE(SUBSTITUTE(LOWER(CONCATENATE(B156," ",B157))," ","-"),"&lt;",""),"&gt;",""),"ó","o"),"?",""),"¿",""),"é","e"),"á","a"))</f>
        <v/>
      </c>
      <c r="C158" s="68" t="str">
        <f>CONCATENATE("&lt;h3&gt;",SUBSTITUTE(CONCATENATE(B156," ",B157),"&lt;","&amp;lt;"),"&lt;/h3&gt;")</f>
        <v>&lt;h3&gt; &lt;/h3&gt;</v>
      </c>
      <c r="D158" s="59"/>
      <c r="E158" s="60"/>
      <c r="F158" t="str">
        <f t="shared" si="114"/>
        <v/>
      </c>
      <c r="G158" s="61">
        <f>G151+1</f>
        <v>23</v>
      </c>
      <c r="J158" s="59"/>
      <c r="K158" s="59"/>
      <c r="L158" s="68" t="str">
        <f>CONCATENATE("&lt;h4&gt;",SUBSTITUTE(CONCATENATE(J156," ",J157),"&lt;","&amp;lt;"),"&lt;/h4&gt;")</f>
        <v>&lt;h4&gt; &lt;/h4&gt;</v>
      </c>
      <c r="M158" s="65"/>
      <c r="N158" t="str">
        <f t="shared" si="94"/>
        <v/>
      </c>
      <c r="O158" s="61">
        <f>O151+1</f>
        <v>23</v>
      </c>
      <c r="T158" t="str">
        <f>CONCATENATE("&lt;h5&gt;",R156,"&lt;/h5&gt;")</f>
        <v>&lt;h5&gt;&lt;/h5&gt;</v>
      </c>
      <c r="U158" s="65"/>
      <c r="V158" t="str">
        <f t="shared" si="93"/>
        <v/>
      </c>
      <c r="W158" s="61">
        <f>W151+1</f>
        <v>23</v>
      </c>
      <c r="AB158" t="str">
        <f>CONCATENATE("&lt;",$Y$1,"&gt;",Z156,"&lt;/",$Y$1,"&gt;")</f>
        <v>&lt;h6&gt;&lt;/h6&gt;</v>
      </c>
      <c r="AC158" s="65"/>
    </row>
    <row r="159" spans="1:29">
      <c r="A159" s="58" t="str">
        <f t="shared" ref="A159:A162" si="115">""</f>
        <v/>
      </c>
      <c r="B159" s="67" t="str">
        <f>IF(B158&lt;&gt;"",IF(B157="",LEFT(B158,LEN(B158)-1),B158),"")</f>
        <v/>
      </c>
      <c r="D159" s="59"/>
      <c r="E159" s="60"/>
      <c r="F159" t="str">
        <f t="shared" si="114"/>
        <v/>
      </c>
      <c r="G159" s="61" t="s">
        <v>189</v>
      </c>
      <c r="J159" s="64"/>
      <c r="K159" t="s">
        <v>2</v>
      </c>
      <c r="L159" t="str">
        <f>IF(J159&lt;&gt;"",CONCATENATE("&lt;p&gt;",J159,"&lt;/p&gt;"),"")</f>
        <v/>
      </c>
      <c r="M159" s="65"/>
      <c r="N159" t="str">
        <f t="shared" si="94"/>
        <v/>
      </c>
      <c r="O159" s="61" t="s">
        <v>189</v>
      </c>
      <c r="R159" s="64"/>
      <c r="S159" t="s">
        <v>2</v>
      </c>
      <c r="T159" t="str">
        <f>IF(R159&lt;&gt;"",R159,"")</f>
        <v/>
      </c>
      <c r="U159" s="65"/>
      <c r="V159" t="str">
        <f t="shared" si="93"/>
        <v/>
      </c>
      <c r="W159" s="61" t="s">
        <v>189</v>
      </c>
      <c r="Z159" s="64"/>
      <c r="AA159" t="s">
        <v>2</v>
      </c>
      <c r="AB159" t="str">
        <f>IF(Z159&lt;&gt;"",Z159,"")</f>
        <v/>
      </c>
      <c r="AC159" s="65"/>
    </row>
    <row r="160" spans="1:29">
      <c r="A160" s="58" t="s">
        <v>189</v>
      </c>
      <c r="B160" s="64"/>
      <c r="C160" t="s">
        <v>117</v>
      </c>
      <c r="D160" s="59"/>
      <c r="E160" s="60"/>
      <c r="F160" t="str">
        <f t="shared" si="114"/>
        <v/>
      </c>
      <c r="G160" s="61" t="str">
        <f t="shared" ref="G160:G162" si="116">""</f>
        <v/>
      </c>
      <c r="L160" t="s">
        <v>117</v>
      </c>
      <c r="M160" s="65"/>
      <c r="N160" t="str">
        <f t="shared" si="94"/>
        <v/>
      </c>
      <c r="O160" s="61" t="str">
        <f t="shared" ref="O160:O162" si="117">""</f>
        <v/>
      </c>
      <c r="T160" t="s">
        <v>117</v>
      </c>
      <c r="U160" s="65"/>
      <c r="V160" t="str">
        <f t="shared" si="93"/>
        <v/>
      </c>
      <c r="W160" s="61" t="str">
        <f t="shared" ref="W160:W162" si="118">""</f>
        <v/>
      </c>
      <c r="AB160" t="s">
        <v>117</v>
      </c>
      <c r="AC160" s="65"/>
    </row>
    <row r="161" ht="14.55" spans="1:29">
      <c r="A161" s="69" t="str">
        <f t="shared" si="115"/>
        <v/>
      </c>
      <c r="C161" s="49" t="str">
        <f>CONCATENATE("&lt;!-- ",CONCATENATE(B156," ",B157," fin")," --&gt;")</f>
        <v>&lt;!--   fin --&gt;</v>
      </c>
      <c r="D161" s="70"/>
      <c r="E161" s="71"/>
      <c r="F161" t="str">
        <f t="shared" si="114"/>
        <v/>
      </c>
      <c r="G161" s="72" t="str">
        <f t="shared" si="116"/>
        <v/>
      </c>
      <c r="H161" s="49"/>
      <c r="I161" s="49"/>
      <c r="J161" s="49"/>
      <c r="K161" s="49"/>
      <c r="L161" s="49" t="str">
        <f>CONCATENATE("&lt;!-- ",CONCATENATE(J156," ",J157," fin")," --&gt;")</f>
        <v>&lt;!--   fin --&gt;</v>
      </c>
      <c r="M161" s="73"/>
      <c r="N161" t="str">
        <f t="shared" si="94"/>
        <v/>
      </c>
      <c r="O161" s="72" t="str">
        <f t="shared" si="117"/>
        <v/>
      </c>
      <c r="P161" s="49"/>
      <c r="Q161" s="49"/>
      <c r="R161" s="49"/>
      <c r="S161" s="49"/>
      <c r="T161" s="49" t="str">
        <f>CONCATENATE("&lt;!-- ",R156," fin --&gt;")</f>
        <v>&lt;!--  fin --&gt;</v>
      </c>
      <c r="U161" s="73"/>
      <c r="V161" t="str">
        <f t="shared" si="93"/>
        <v/>
      </c>
      <c r="W161" s="72" t="str">
        <f t="shared" si="118"/>
        <v/>
      </c>
      <c r="X161" s="49"/>
      <c r="Y161" s="49"/>
      <c r="Z161" s="49"/>
      <c r="AA161" s="49"/>
      <c r="AB161" s="49" t="str">
        <f>CONCATENATE("&lt;!-- ",Z156," fin --&gt;")</f>
        <v>&lt;!--  fin --&gt;</v>
      </c>
      <c r="AC161" s="73"/>
    </row>
    <row r="162" ht="14.55" spans="1:29">
      <c r="A162" s="74" t="str">
        <f t="shared" si="115"/>
        <v/>
      </c>
      <c r="B162" s="52"/>
      <c r="C162" s="49" t="str">
        <f>""</f>
        <v/>
      </c>
      <c r="D162" s="49"/>
      <c r="E162" s="49"/>
      <c r="F162" t="str">
        <f t="shared" si="114"/>
        <v/>
      </c>
      <c r="G162" s="61" t="str">
        <f t="shared" si="116"/>
        <v/>
      </c>
      <c r="H162" s="75"/>
      <c r="I162" s="75"/>
      <c r="J162" s="52"/>
      <c r="K162" s="55"/>
      <c r="L162" s="49" t="str">
        <f>""</f>
        <v/>
      </c>
      <c r="N162" t="str">
        <f t="shared" si="94"/>
        <v/>
      </c>
      <c r="O162" s="54" t="str">
        <f t="shared" si="117"/>
        <v/>
      </c>
      <c r="P162" s="55"/>
      <c r="Q162" s="55"/>
      <c r="R162" s="52"/>
      <c r="S162" s="55"/>
      <c r="T162" s="49" t="str">
        <f>""</f>
        <v/>
      </c>
      <c r="V162" t="str">
        <f t="shared" si="93"/>
        <v/>
      </c>
      <c r="W162" s="54" t="str">
        <f t="shared" si="118"/>
        <v/>
      </c>
      <c r="X162" s="55"/>
      <c r="Y162" s="55"/>
      <c r="Z162" s="52"/>
      <c r="AA162" s="55"/>
      <c r="AB162" s="49" t="str">
        <f>""</f>
        <v/>
      </c>
    </row>
    <row r="163" s="25" customFormat="1" spans="1:29">
      <c r="A163" s="50" t="str">
        <f>CONCATENATE("Título ",A165)</f>
        <v>Título 24</v>
      </c>
      <c r="B163" s="57"/>
      <c r="C163" s="51" t="str">
        <f>CONCATENATE("&lt;!-- ",CONCATENATE(B163," ",B164)," --&gt;")</f>
        <v>&lt;!--   --&gt;</v>
      </c>
      <c r="D163" s="52"/>
      <c r="E163" s="53" t="str">
        <f>""</f>
        <v/>
      </c>
      <c r="F163" t="str">
        <f t="shared" ref="F163:F169" si="119">""</f>
        <v/>
      </c>
      <c r="G163" s="76" t="str">
        <f>CONCATENATE("Título ",G165)</f>
        <v>Título 24</v>
      </c>
      <c r="H163" s="77"/>
      <c r="I163" s="77"/>
      <c r="J163" s="78"/>
      <c r="K163" s="77" t="s">
        <v>2</v>
      </c>
      <c r="L163" s="79" t="str">
        <f>CONCATENATE("&lt;!-- ",CONCATENATE(J163," ",J164)," --&gt;")</f>
        <v>&lt;!--   --&gt;</v>
      </c>
      <c r="M163" s="80"/>
      <c r="N163" s="25" t="str">
        <f t="shared" si="94"/>
        <v/>
      </c>
      <c r="O163" s="76" t="str">
        <f>G163</f>
        <v>Título 24</v>
      </c>
      <c r="P163" s="77"/>
      <c r="Q163" s="77"/>
      <c r="R163" s="78"/>
      <c r="S163" s="77"/>
      <c r="T163" s="77" t="str">
        <f>CONCATENATE("&lt;!-- ",R163," --&gt;")</f>
        <v>&lt;!--  --&gt;</v>
      </c>
      <c r="U163" s="80"/>
      <c r="V163" s="25" t="str">
        <f t="shared" si="93"/>
        <v/>
      </c>
      <c r="W163" s="76" t="str">
        <f>O163</f>
        <v>Título 24</v>
      </c>
      <c r="X163" s="77"/>
      <c r="Y163" s="77"/>
      <c r="Z163" s="78"/>
      <c r="AA163" s="77"/>
      <c r="AB163" s="55" t="str">
        <f>CONCATENATE("&lt;!-- ",Z163," --&gt;")</f>
        <v>&lt;!--  --&gt;</v>
      </c>
      <c r="AC163" s="80"/>
    </row>
    <row r="164" ht="14.4" spans="1:29">
      <c r="A164" s="58" t="s">
        <v>186</v>
      </c>
      <c r="C164" t="str">
        <f>IF(B165&lt;&gt;"",CONCATENATE("&lt;div id=",Comilla,B166,Comilla,"&gt;"),"")</f>
        <v/>
      </c>
      <c r="D164" s="59"/>
      <c r="E164" s="60" t="str">
        <f>CONCATENATE(" &lt;a href=",Comilla,"#",B166,Comilla," class=",Comilla,"submenu-item",Comilla,"&gt;",B163,"&lt;/a&gt;")</f>
        <v> &lt;a href="#" class="submenu-item"&gt;&lt;/a&gt;</v>
      </c>
      <c r="F164" t="str">
        <f t="shared" si="119"/>
        <v/>
      </c>
      <c r="G164" s="61" t="s">
        <v>186</v>
      </c>
      <c r="H164" s="62" t="s">
        <v>187</v>
      </c>
      <c r="I164" s="63" t="s">
        <v>188</v>
      </c>
      <c r="J164" s="64"/>
      <c r="L164" t="str">
        <f>IF(J163&lt;&gt;"","&lt;div&gt;","")</f>
        <v/>
      </c>
      <c r="M164" s="65"/>
      <c r="N164" t="str">
        <f t="shared" si="94"/>
        <v/>
      </c>
      <c r="O164" s="61" t="s">
        <v>186</v>
      </c>
      <c r="P164" s="62" t="s">
        <v>187</v>
      </c>
      <c r="Q164" s="63" t="s">
        <v>188</v>
      </c>
      <c r="T164" t="str">
        <f>CONCATENATE(P164,R164,Q164)</f>
        <v>&lt;div &gt;</v>
      </c>
      <c r="U164" s="65"/>
      <c r="V164" t="str">
        <f t="shared" si="93"/>
        <v/>
      </c>
      <c r="W164" s="61" t="s">
        <v>186</v>
      </c>
      <c r="X164" s="62" t="s">
        <v>187</v>
      </c>
      <c r="Y164" s="63" t="s">
        <v>188</v>
      </c>
      <c r="AB164" t="str">
        <f>CONCATENATE(X164,Z164,Y164)</f>
        <v>&lt;div &gt;</v>
      </c>
      <c r="AC164" s="65"/>
    </row>
    <row r="165" spans="1:29">
      <c r="A165" s="66">
        <f>A158+1</f>
        <v>24</v>
      </c>
      <c r="B165" s="67" t="str">
        <f>IF(B163="","",SUBSTITUTE(SUBSTITUTE(SUBSTITUTE(SUBSTITUTE(SUBSTITUTE(SUBSTITUTE(SUBSTITUTE(SUBSTITUTE(LOWER(CONCATENATE(B163," ",B164))," ","-"),"&lt;",""),"&gt;",""),"ó","o"),"?",""),"¿",""),"é","e"),"á","a"))</f>
        <v/>
      </c>
      <c r="C165" s="68" t="str">
        <f>CONCATENATE("&lt;h3&gt;",SUBSTITUTE(CONCATENATE(B163," ",B164),"&lt;","&amp;lt;"),"&lt;/h3&gt;")</f>
        <v>&lt;h3&gt; &lt;/h3&gt;</v>
      </c>
      <c r="D165" s="59"/>
      <c r="E165" s="60"/>
      <c r="F165" t="str">
        <f t="shared" si="119"/>
        <v/>
      </c>
      <c r="G165" s="61">
        <f>G158+1</f>
        <v>24</v>
      </c>
      <c r="J165" s="59"/>
      <c r="K165" s="59"/>
      <c r="L165" s="68" t="str">
        <f>CONCATENATE("&lt;h4&gt;",SUBSTITUTE(CONCATENATE(J163," ",J164),"&lt;","&amp;lt;"),"&lt;/h4&gt;")</f>
        <v>&lt;h4&gt; &lt;/h4&gt;</v>
      </c>
      <c r="M165" s="65"/>
      <c r="N165" t="str">
        <f t="shared" si="94"/>
        <v/>
      </c>
      <c r="O165" s="61">
        <f>O158+1</f>
        <v>24</v>
      </c>
      <c r="T165" t="str">
        <f>CONCATENATE("&lt;h5&gt;",R163,"&lt;/h5&gt;")</f>
        <v>&lt;h5&gt;&lt;/h5&gt;</v>
      </c>
      <c r="U165" s="65"/>
      <c r="V165" t="str">
        <f t="shared" si="93"/>
        <v/>
      </c>
      <c r="W165" s="61">
        <f>W158+1</f>
        <v>24</v>
      </c>
      <c r="AB165" t="str">
        <f>CONCATENATE("&lt;",$Y$1,"&gt;",Z163,"&lt;/",$Y$1,"&gt;")</f>
        <v>&lt;h6&gt;&lt;/h6&gt;</v>
      </c>
      <c r="AC165" s="65"/>
    </row>
    <row r="166" spans="1:29">
      <c r="A166" s="58" t="str">
        <f t="shared" ref="A166:A169" si="120">""</f>
        <v/>
      </c>
      <c r="B166" s="67" t="str">
        <f>IF(B165&lt;&gt;"",IF(B164="",LEFT(B165,LEN(B165)-1),B165),"")</f>
        <v/>
      </c>
      <c r="D166" s="59"/>
      <c r="E166" s="60"/>
      <c r="F166" t="str">
        <f t="shared" si="119"/>
        <v/>
      </c>
      <c r="G166" s="61" t="s">
        <v>189</v>
      </c>
      <c r="J166" s="64"/>
      <c r="K166" t="s">
        <v>2</v>
      </c>
      <c r="L166" t="str">
        <f>IF(J166&lt;&gt;"",CONCATENATE("&lt;p&gt;",J166,"&lt;/p&gt;"),"")</f>
        <v/>
      </c>
      <c r="M166" s="65"/>
      <c r="N166" t="str">
        <f t="shared" si="94"/>
        <v/>
      </c>
      <c r="O166" s="61" t="s">
        <v>189</v>
      </c>
      <c r="R166" s="64"/>
      <c r="S166" t="s">
        <v>2</v>
      </c>
      <c r="T166" t="str">
        <f>IF(R166&lt;&gt;"",R166,"")</f>
        <v/>
      </c>
      <c r="U166" s="65"/>
      <c r="V166" t="str">
        <f t="shared" si="93"/>
        <v/>
      </c>
      <c r="W166" s="61" t="s">
        <v>189</v>
      </c>
      <c r="Z166" s="64"/>
      <c r="AA166" t="s">
        <v>2</v>
      </c>
      <c r="AB166" t="str">
        <f>IF(Z166&lt;&gt;"",Z166,"")</f>
        <v/>
      </c>
      <c r="AC166" s="65"/>
    </row>
    <row r="167" spans="1:29">
      <c r="A167" s="58" t="s">
        <v>189</v>
      </c>
      <c r="B167" s="64"/>
      <c r="C167" t="s">
        <v>117</v>
      </c>
      <c r="D167" s="59"/>
      <c r="E167" s="60"/>
      <c r="F167" t="str">
        <f t="shared" si="119"/>
        <v/>
      </c>
      <c r="G167" s="61" t="str">
        <f t="shared" ref="G167:G169" si="121">""</f>
        <v/>
      </c>
      <c r="L167" t="s">
        <v>117</v>
      </c>
      <c r="M167" s="65"/>
      <c r="N167" t="str">
        <f t="shared" si="94"/>
        <v/>
      </c>
      <c r="O167" s="61" t="str">
        <f t="shared" ref="O167:O169" si="122">""</f>
        <v/>
      </c>
      <c r="T167" t="s">
        <v>117</v>
      </c>
      <c r="U167" s="65"/>
      <c r="V167" t="str">
        <f t="shared" si="93"/>
        <v/>
      </c>
      <c r="W167" s="61" t="str">
        <f t="shared" ref="W167:W169" si="123">""</f>
        <v/>
      </c>
      <c r="AB167" t="s">
        <v>117</v>
      </c>
      <c r="AC167" s="65"/>
    </row>
    <row r="168" ht="14.55" spans="1:29">
      <c r="A168" s="69" t="str">
        <f t="shared" si="120"/>
        <v/>
      </c>
      <c r="C168" s="49" t="str">
        <f>CONCATENATE("&lt;!-- ",CONCATENATE(B163," ",B164," fin")," --&gt;")</f>
        <v>&lt;!--   fin --&gt;</v>
      </c>
      <c r="D168" s="70"/>
      <c r="E168" s="71"/>
      <c r="F168" t="str">
        <f t="shared" si="119"/>
        <v/>
      </c>
      <c r="G168" s="72" t="str">
        <f t="shared" si="121"/>
        <v/>
      </c>
      <c r="H168" s="49"/>
      <c r="I168" s="49"/>
      <c r="J168" s="49"/>
      <c r="K168" s="49"/>
      <c r="L168" s="49" t="str">
        <f>CONCATENATE("&lt;!-- ",CONCATENATE(J163," ",J164," fin")," --&gt;")</f>
        <v>&lt;!--   fin --&gt;</v>
      </c>
      <c r="M168" s="73"/>
      <c r="N168" t="str">
        <f t="shared" si="94"/>
        <v/>
      </c>
      <c r="O168" s="72" t="str">
        <f t="shared" si="122"/>
        <v/>
      </c>
      <c r="P168" s="49"/>
      <c r="Q168" s="49"/>
      <c r="R168" s="49"/>
      <c r="S168" s="49"/>
      <c r="T168" s="49" t="str">
        <f>CONCATENATE("&lt;!-- ",R163," fin --&gt;")</f>
        <v>&lt;!--  fin --&gt;</v>
      </c>
      <c r="U168" s="73"/>
      <c r="V168" t="str">
        <f t="shared" si="93"/>
        <v/>
      </c>
      <c r="W168" s="72" t="str">
        <f t="shared" si="123"/>
        <v/>
      </c>
      <c r="X168" s="49"/>
      <c r="Y168" s="49"/>
      <c r="Z168" s="49"/>
      <c r="AA168" s="49"/>
      <c r="AB168" s="49" t="str">
        <f>CONCATENATE("&lt;!-- ",Z163," fin --&gt;")</f>
        <v>&lt;!--  fin --&gt;</v>
      </c>
      <c r="AC168" s="73"/>
    </row>
    <row r="169" ht="14.55" spans="1:29">
      <c r="A169" s="74" t="str">
        <f t="shared" si="120"/>
        <v/>
      </c>
      <c r="B169" s="52"/>
      <c r="C169" s="49" t="str">
        <f>""</f>
        <v/>
      </c>
      <c r="D169" s="49"/>
      <c r="E169" s="49"/>
      <c r="F169" t="str">
        <f t="shared" si="119"/>
        <v/>
      </c>
      <c r="G169" s="61" t="str">
        <f t="shared" si="121"/>
        <v/>
      </c>
      <c r="H169" s="75"/>
      <c r="I169" s="75"/>
      <c r="J169" s="52"/>
      <c r="K169" s="55"/>
      <c r="L169" s="49" t="str">
        <f>""</f>
        <v/>
      </c>
      <c r="N169" t="str">
        <f t="shared" si="94"/>
        <v/>
      </c>
      <c r="O169" s="54" t="str">
        <f t="shared" si="122"/>
        <v/>
      </c>
      <c r="P169" s="55"/>
      <c r="Q169" s="55"/>
      <c r="R169" s="52"/>
      <c r="S169" s="55"/>
      <c r="T169" s="49" t="str">
        <f>""</f>
        <v/>
      </c>
      <c r="V169" t="str">
        <f t="shared" si="93"/>
        <v/>
      </c>
      <c r="W169" s="54" t="str">
        <f t="shared" si="123"/>
        <v/>
      </c>
      <c r="X169" s="55"/>
      <c r="Y169" s="55"/>
      <c r="Z169" s="52"/>
      <c r="AA169" s="55"/>
      <c r="AB169" s="49" t="str">
        <f>""</f>
        <v/>
      </c>
    </row>
    <row r="170" s="25" customFormat="1" spans="1:29">
      <c r="A170" s="50" t="str">
        <f>CONCATENATE("Título ",A172)</f>
        <v>Título 25</v>
      </c>
      <c r="B170" s="57"/>
      <c r="C170" s="51" t="str">
        <f>CONCATENATE("&lt;!-- ",CONCATENATE(B170," ",B171)," --&gt;")</f>
        <v>&lt;!--   --&gt;</v>
      </c>
      <c r="D170" s="52"/>
      <c r="E170" s="53" t="str">
        <f>""</f>
        <v/>
      </c>
      <c r="F170" t="str">
        <f t="shared" ref="F170:F176" si="124">""</f>
        <v/>
      </c>
      <c r="G170" s="76" t="str">
        <f>CONCATENATE("Título ",G172)</f>
        <v>Título 25</v>
      </c>
      <c r="H170" s="77"/>
      <c r="I170" s="77"/>
      <c r="J170" s="78"/>
      <c r="K170" s="77" t="s">
        <v>2</v>
      </c>
      <c r="L170" s="79" t="str">
        <f>CONCATENATE("&lt;!-- ",CONCATENATE(J170," ",J171)," --&gt;")</f>
        <v>&lt;!--   --&gt;</v>
      </c>
      <c r="M170" s="80"/>
      <c r="N170" s="25" t="str">
        <f t="shared" si="94"/>
        <v/>
      </c>
      <c r="O170" s="76" t="str">
        <f>G170</f>
        <v>Título 25</v>
      </c>
      <c r="P170" s="77"/>
      <c r="Q170" s="77"/>
      <c r="R170" s="78"/>
      <c r="S170" s="77"/>
      <c r="T170" s="77" t="str">
        <f>CONCATENATE("&lt;!-- ",R170," --&gt;")</f>
        <v>&lt;!--  --&gt;</v>
      </c>
      <c r="U170" s="80"/>
      <c r="V170" s="25" t="str">
        <f t="shared" si="93"/>
        <v/>
      </c>
      <c r="W170" s="76" t="str">
        <f>O170</f>
        <v>Título 25</v>
      </c>
      <c r="X170" s="77"/>
      <c r="Y170" s="77"/>
      <c r="Z170" s="78"/>
      <c r="AA170" s="77"/>
      <c r="AB170" s="55" t="str">
        <f>CONCATENATE("&lt;!-- ",Z170," --&gt;")</f>
        <v>&lt;!--  --&gt;</v>
      </c>
      <c r="AC170" s="80"/>
    </row>
    <row r="171" ht="14.4" spans="1:29">
      <c r="A171" s="58" t="s">
        <v>186</v>
      </c>
      <c r="C171" t="str">
        <f>IF(B172&lt;&gt;"",CONCATENATE("&lt;div id=",Comilla,B173,Comilla,"&gt;"),"")</f>
        <v/>
      </c>
      <c r="D171" s="59"/>
      <c r="E171" s="60" t="str">
        <f>CONCATENATE(" &lt;a href=",Comilla,"#",B173,Comilla," class=",Comilla,"submenu-item",Comilla,"&gt;",B170,"&lt;/a&gt;")</f>
        <v> &lt;a href="#" class="submenu-item"&gt;&lt;/a&gt;</v>
      </c>
      <c r="F171" t="str">
        <f t="shared" si="124"/>
        <v/>
      </c>
      <c r="G171" s="61" t="s">
        <v>186</v>
      </c>
      <c r="H171" s="62" t="s">
        <v>187</v>
      </c>
      <c r="I171" s="63" t="s">
        <v>188</v>
      </c>
      <c r="J171" s="64"/>
      <c r="L171" t="str">
        <f>IF(J170&lt;&gt;"","&lt;div&gt;","")</f>
        <v/>
      </c>
      <c r="M171" s="65"/>
      <c r="N171" t="str">
        <f t="shared" si="94"/>
        <v/>
      </c>
      <c r="O171" s="61" t="s">
        <v>186</v>
      </c>
      <c r="P171" s="62" t="s">
        <v>187</v>
      </c>
      <c r="Q171" s="63" t="s">
        <v>188</v>
      </c>
      <c r="T171" t="str">
        <f>CONCATENATE(P171,R171,Q171)</f>
        <v>&lt;div &gt;</v>
      </c>
      <c r="U171" s="65"/>
      <c r="V171" t="str">
        <f t="shared" si="93"/>
        <v/>
      </c>
      <c r="W171" s="61" t="s">
        <v>186</v>
      </c>
      <c r="X171" s="62" t="s">
        <v>187</v>
      </c>
      <c r="Y171" s="63" t="s">
        <v>188</v>
      </c>
      <c r="AB171" t="str">
        <f>CONCATENATE(X171,Z171,Y171)</f>
        <v>&lt;div &gt;</v>
      </c>
      <c r="AC171" s="65"/>
    </row>
    <row r="172" spans="1:29">
      <c r="A172" s="66">
        <f>A165+1</f>
        <v>25</v>
      </c>
      <c r="B172" s="67" t="str">
        <f>IF(B170="","",SUBSTITUTE(SUBSTITUTE(SUBSTITUTE(SUBSTITUTE(SUBSTITUTE(SUBSTITUTE(SUBSTITUTE(SUBSTITUTE(LOWER(CONCATENATE(B170," ",B171))," ","-"),"&lt;",""),"&gt;",""),"ó","o"),"?",""),"¿",""),"é","e"),"á","a"))</f>
        <v/>
      </c>
      <c r="C172" s="68" t="str">
        <f>CONCATENATE("&lt;h3&gt;",SUBSTITUTE(CONCATENATE(B170," ",B171),"&lt;","&amp;lt;"),"&lt;/h3&gt;")</f>
        <v>&lt;h3&gt; &lt;/h3&gt;</v>
      </c>
      <c r="D172" s="59"/>
      <c r="E172" s="60"/>
      <c r="F172" t="str">
        <f t="shared" si="124"/>
        <v/>
      </c>
      <c r="G172" s="61">
        <f>G165+1</f>
        <v>25</v>
      </c>
      <c r="J172" s="59"/>
      <c r="K172" s="59"/>
      <c r="L172" s="68" t="str">
        <f>CONCATENATE("&lt;h4&gt;",SUBSTITUTE(CONCATENATE(J170," ",J171),"&lt;","&amp;lt;"),"&lt;/h4&gt;")</f>
        <v>&lt;h4&gt; &lt;/h4&gt;</v>
      </c>
      <c r="M172" s="65"/>
      <c r="N172" t="str">
        <f t="shared" si="94"/>
        <v/>
      </c>
      <c r="O172" s="61">
        <f>O165+1</f>
        <v>25</v>
      </c>
      <c r="T172" t="str">
        <f>CONCATENATE("&lt;h5&gt;",R170,"&lt;/h5&gt;")</f>
        <v>&lt;h5&gt;&lt;/h5&gt;</v>
      </c>
      <c r="U172" s="65"/>
      <c r="V172" t="str">
        <f t="shared" si="93"/>
        <v/>
      </c>
      <c r="W172" s="61">
        <f>W165+1</f>
        <v>25</v>
      </c>
      <c r="AB172" t="str">
        <f>CONCATENATE("&lt;",$Y$1,"&gt;",Z170,"&lt;/",$Y$1,"&gt;")</f>
        <v>&lt;h6&gt;&lt;/h6&gt;</v>
      </c>
      <c r="AC172" s="65"/>
    </row>
    <row r="173" spans="1:29">
      <c r="A173" s="58" t="str">
        <f t="shared" ref="A173:A176" si="125">""</f>
        <v/>
      </c>
      <c r="B173" s="67" t="str">
        <f>IF(B172&lt;&gt;"",IF(B171="",LEFT(B172,LEN(B172)-1),B172),"")</f>
        <v/>
      </c>
      <c r="D173" s="59"/>
      <c r="E173" s="60"/>
      <c r="F173" t="str">
        <f t="shared" si="124"/>
        <v/>
      </c>
      <c r="G173" s="61" t="s">
        <v>189</v>
      </c>
      <c r="J173" s="64"/>
      <c r="K173" t="s">
        <v>2</v>
      </c>
      <c r="L173" t="str">
        <f>IF(J173&lt;&gt;"",CONCATENATE("&lt;p&gt;",J173,"&lt;/p&gt;"),"")</f>
        <v/>
      </c>
      <c r="M173" s="65"/>
      <c r="N173" t="str">
        <f t="shared" si="94"/>
        <v/>
      </c>
      <c r="O173" s="61" t="s">
        <v>189</v>
      </c>
      <c r="R173" s="64"/>
      <c r="S173" t="s">
        <v>2</v>
      </c>
      <c r="T173" t="str">
        <f>IF(R173&lt;&gt;"",R173,"")</f>
        <v/>
      </c>
      <c r="U173" s="65"/>
      <c r="V173" t="str">
        <f t="shared" si="93"/>
        <v/>
      </c>
      <c r="W173" s="61" t="s">
        <v>189</v>
      </c>
      <c r="Z173" s="64"/>
      <c r="AA173" t="s">
        <v>2</v>
      </c>
      <c r="AB173" t="str">
        <f>IF(Z173&lt;&gt;"",Z173,"")</f>
        <v/>
      </c>
      <c r="AC173" s="65"/>
    </row>
    <row r="174" spans="1:29">
      <c r="A174" s="58" t="s">
        <v>189</v>
      </c>
      <c r="B174" s="64"/>
      <c r="C174" t="s">
        <v>117</v>
      </c>
      <c r="D174" s="59"/>
      <c r="E174" s="60"/>
      <c r="F174" t="str">
        <f t="shared" si="124"/>
        <v/>
      </c>
      <c r="G174" s="61" t="str">
        <f t="shared" ref="G174:G176" si="126">""</f>
        <v/>
      </c>
      <c r="L174" t="s">
        <v>117</v>
      </c>
      <c r="M174" s="65"/>
      <c r="N174" t="str">
        <f t="shared" si="94"/>
        <v/>
      </c>
      <c r="O174" s="61" t="str">
        <f t="shared" ref="O174:O176" si="127">""</f>
        <v/>
      </c>
      <c r="T174" t="s">
        <v>117</v>
      </c>
      <c r="U174" s="65"/>
      <c r="V174" t="str">
        <f t="shared" si="93"/>
        <v/>
      </c>
      <c r="W174" s="61" t="str">
        <f t="shared" ref="W174:W176" si="128">""</f>
        <v/>
      </c>
      <c r="AB174" t="s">
        <v>117</v>
      </c>
      <c r="AC174" s="65"/>
    </row>
    <row r="175" ht="14.55" spans="1:29">
      <c r="A175" s="69" t="str">
        <f t="shared" si="125"/>
        <v/>
      </c>
      <c r="C175" s="49" t="str">
        <f>CONCATENATE("&lt;!-- ",CONCATENATE(B170," ",B171," fin")," --&gt;")</f>
        <v>&lt;!--   fin --&gt;</v>
      </c>
      <c r="D175" s="70"/>
      <c r="E175" s="71"/>
      <c r="F175" t="str">
        <f t="shared" si="124"/>
        <v/>
      </c>
      <c r="G175" s="72" t="str">
        <f t="shared" si="126"/>
        <v/>
      </c>
      <c r="H175" s="49"/>
      <c r="I175" s="49"/>
      <c r="J175" s="49"/>
      <c r="K175" s="49"/>
      <c r="L175" s="49" t="str">
        <f>CONCATENATE("&lt;!-- ",CONCATENATE(J170," ",J171," fin")," --&gt;")</f>
        <v>&lt;!--   fin --&gt;</v>
      </c>
      <c r="M175" s="73"/>
      <c r="N175" t="str">
        <f t="shared" si="94"/>
        <v/>
      </c>
      <c r="O175" s="72" t="str">
        <f t="shared" si="127"/>
        <v/>
      </c>
      <c r="P175" s="49"/>
      <c r="Q175" s="49"/>
      <c r="R175" s="49"/>
      <c r="S175" s="49"/>
      <c r="T175" s="49" t="str">
        <f>CONCATENATE("&lt;!-- ",R170," fin --&gt;")</f>
        <v>&lt;!--  fin --&gt;</v>
      </c>
      <c r="U175" s="73"/>
      <c r="V175" t="str">
        <f t="shared" si="93"/>
        <v/>
      </c>
      <c r="W175" s="72" t="str">
        <f t="shared" si="128"/>
        <v/>
      </c>
      <c r="X175" s="49"/>
      <c r="Y175" s="49"/>
      <c r="Z175" s="49"/>
      <c r="AA175" s="49"/>
      <c r="AB175" s="49" t="str">
        <f>CONCATENATE("&lt;!-- ",Z170," fin --&gt;")</f>
        <v>&lt;!--  fin --&gt;</v>
      </c>
      <c r="AC175" s="73"/>
    </row>
    <row r="176" ht="14.55" spans="1:29">
      <c r="A176" s="74" t="str">
        <f t="shared" si="125"/>
        <v/>
      </c>
      <c r="B176" s="52"/>
      <c r="C176" s="49" t="str">
        <f>""</f>
        <v/>
      </c>
      <c r="D176" s="49"/>
      <c r="E176" s="49"/>
      <c r="F176" t="str">
        <f t="shared" si="124"/>
        <v/>
      </c>
      <c r="G176" s="61" t="str">
        <f t="shared" si="126"/>
        <v/>
      </c>
      <c r="H176" s="75"/>
      <c r="I176" s="75"/>
      <c r="J176" s="52"/>
      <c r="K176" s="55"/>
      <c r="L176" s="49" t="str">
        <f>""</f>
        <v/>
      </c>
      <c r="N176" t="str">
        <f t="shared" si="94"/>
        <v/>
      </c>
      <c r="O176" s="54" t="str">
        <f t="shared" si="127"/>
        <v/>
      </c>
      <c r="P176" s="55"/>
      <c r="Q176" s="55"/>
      <c r="R176" s="52"/>
      <c r="S176" s="55"/>
      <c r="T176" s="49" t="str">
        <f>""</f>
        <v/>
      </c>
      <c r="V176" t="str">
        <f t="shared" si="93"/>
        <v/>
      </c>
      <c r="W176" s="54" t="str">
        <f t="shared" si="128"/>
        <v/>
      </c>
      <c r="X176" s="55"/>
      <c r="Y176" s="55"/>
      <c r="Z176" s="52"/>
      <c r="AA176" s="55"/>
      <c r="AB176" s="49" t="str">
        <f>""</f>
        <v/>
      </c>
    </row>
    <row r="177" spans="1:29">
      <c r="A177" s="50" t="str">
        <f>CONCATENATE("Título ",A179)</f>
        <v>Título 26</v>
      </c>
      <c r="B177" s="57"/>
      <c r="C177" s="51" t="str">
        <f>CONCATENATE("&lt;!-- ",CONCATENATE(B177," ",B178)," --&gt;")</f>
        <v>&lt;!--   --&gt;</v>
      </c>
      <c r="D177" s="52"/>
      <c r="E177" s="53" t="str">
        <f>""</f>
        <v/>
      </c>
      <c r="F177" t="str">
        <f t="shared" ref="F177:F183" si="129">""</f>
        <v/>
      </c>
      <c r="G177" s="54" t="str">
        <f>CONCATENATE("Título ",G179)</f>
        <v>Título 26</v>
      </c>
      <c r="H177" s="55"/>
      <c r="I177" s="55"/>
      <c r="J177" s="57"/>
      <c r="K177" s="55" t="s">
        <v>2</v>
      </c>
      <c r="L177" s="51" t="str">
        <f>CONCATENATE("&lt;!-- ",CONCATENATE(J177," ",J178)," --&gt;")</f>
        <v>&lt;!--   --&gt;</v>
      </c>
      <c r="M177" s="56"/>
      <c r="N177" t="str">
        <f t="shared" si="94"/>
        <v/>
      </c>
      <c r="O177" s="54" t="str">
        <f>G177</f>
        <v>Título 26</v>
      </c>
      <c r="P177" s="55"/>
      <c r="Q177" s="55"/>
      <c r="R177" s="57"/>
      <c r="S177" s="55"/>
      <c r="T177" s="55" t="str">
        <f>CONCATENATE("&lt;!-- ",R177," --&gt;")</f>
        <v>&lt;!--  --&gt;</v>
      </c>
      <c r="U177" s="56"/>
      <c r="V177" t="str">
        <f t="shared" si="93"/>
        <v/>
      </c>
      <c r="W177" s="54" t="str">
        <f>O177</f>
        <v>Título 26</v>
      </c>
      <c r="X177" s="55"/>
      <c r="Y177" s="55"/>
      <c r="Z177" s="57"/>
      <c r="AA177" s="55"/>
      <c r="AB177" s="55" t="str">
        <f>CONCATENATE("&lt;!-- ",Z177," --&gt;")</f>
        <v>&lt;!--  --&gt;</v>
      </c>
      <c r="AC177" s="56"/>
    </row>
    <row r="178" ht="14.4" spans="1:29">
      <c r="A178" s="58" t="s">
        <v>186</v>
      </c>
      <c r="C178" t="str">
        <f>IF(B179&lt;&gt;"",CONCATENATE("&lt;div id=",Comilla,B180,Comilla,"&gt;"),"")</f>
        <v/>
      </c>
      <c r="D178" s="59"/>
      <c r="E178" s="60" t="str">
        <f>CONCATENATE(" &lt;a href=",Comilla,"#",B180,Comilla," class=",Comilla,"submenu-item",Comilla,"&gt;",B177,"&lt;/a&gt;")</f>
        <v> &lt;a href="#" class="submenu-item"&gt;&lt;/a&gt;</v>
      </c>
      <c r="F178" t="str">
        <f t="shared" si="129"/>
        <v/>
      </c>
      <c r="G178" s="61" t="s">
        <v>186</v>
      </c>
      <c r="H178" s="62" t="s">
        <v>187</v>
      </c>
      <c r="I178" s="63" t="s">
        <v>188</v>
      </c>
      <c r="J178" s="64"/>
      <c r="L178" t="str">
        <f>IF(J177&lt;&gt;"","&lt;div&gt;","")</f>
        <v/>
      </c>
      <c r="M178" s="65"/>
      <c r="N178" t="str">
        <f t="shared" si="94"/>
        <v/>
      </c>
      <c r="O178" s="61" t="s">
        <v>186</v>
      </c>
      <c r="P178" s="62" t="s">
        <v>187</v>
      </c>
      <c r="Q178" s="63" t="s">
        <v>188</v>
      </c>
      <c r="T178" t="str">
        <f>CONCATENATE(P178,R178,Q178)</f>
        <v>&lt;div &gt;</v>
      </c>
      <c r="U178" s="65"/>
      <c r="V178" t="str">
        <f t="shared" si="93"/>
        <v/>
      </c>
      <c r="W178" s="61" t="s">
        <v>186</v>
      </c>
      <c r="X178" s="62" t="s">
        <v>187</v>
      </c>
      <c r="Y178" s="63" t="s">
        <v>188</v>
      </c>
      <c r="AB178" t="str">
        <f>CONCATENATE(X178,Z178,Y178)</f>
        <v>&lt;div &gt;</v>
      </c>
      <c r="AC178" s="65"/>
    </row>
    <row r="179" spans="1:29">
      <c r="A179" s="66">
        <f>A172+1</f>
        <v>26</v>
      </c>
      <c r="B179" s="67" t="str">
        <f>IF(B177="","",SUBSTITUTE(SUBSTITUTE(SUBSTITUTE(SUBSTITUTE(SUBSTITUTE(SUBSTITUTE(SUBSTITUTE(SUBSTITUTE(LOWER(CONCATENATE(B177," ",B178))," ","-"),"&lt;",""),"&gt;",""),"ó","o"),"?",""),"¿",""),"é","e"),"á","a"))</f>
        <v/>
      </c>
      <c r="C179" s="68" t="str">
        <f>CONCATENATE("&lt;h3&gt;",SUBSTITUTE(CONCATENATE(B177," ",B178),"&lt;","&amp;lt;"),"&lt;/h3&gt;")</f>
        <v>&lt;h3&gt; &lt;/h3&gt;</v>
      </c>
      <c r="D179" s="59"/>
      <c r="E179" s="60"/>
      <c r="F179" t="str">
        <f t="shared" si="129"/>
        <v/>
      </c>
      <c r="G179" s="61">
        <f>G172+1</f>
        <v>26</v>
      </c>
      <c r="J179" s="59"/>
      <c r="K179" s="59"/>
      <c r="L179" s="68" t="str">
        <f>CONCATENATE("&lt;h4&gt;",SUBSTITUTE(CONCATENATE(J177," ",J178),"&lt;","&amp;lt;"),"&lt;/h4&gt;")</f>
        <v>&lt;h4&gt; &lt;/h4&gt;</v>
      </c>
      <c r="M179" s="65"/>
      <c r="N179" t="str">
        <f t="shared" si="94"/>
        <v/>
      </c>
      <c r="O179" s="61">
        <f>O172+1</f>
        <v>26</v>
      </c>
      <c r="T179" t="str">
        <f>CONCATENATE("&lt;h5&gt;",R177,"&lt;/h5&gt;")</f>
        <v>&lt;h5&gt;&lt;/h5&gt;</v>
      </c>
      <c r="U179" s="65"/>
      <c r="V179" t="str">
        <f t="shared" si="93"/>
        <v/>
      </c>
      <c r="W179" s="61">
        <f>W172+1</f>
        <v>26</v>
      </c>
      <c r="AB179" t="str">
        <f>CONCATENATE("&lt;",$Y$1,"&gt;",Z177,"&lt;/",$Y$1,"&gt;")</f>
        <v>&lt;h6&gt;&lt;/h6&gt;</v>
      </c>
      <c r="AC179" s="65"/>
    </row>
    <row r="180" spans="1:29">
      <c r="A180" s="58" t="str">
        <f t="shared" ref="A180:A183" si="130">""</f>
        <v/>
      </c>
      <c r="B180" s="67" t="str">
        <f>IF(B179&lt;&gt;"",IF(B178="",LEFT(B179,LEN(B179)-1),B179),"")</f>
        <v/>
      </c>
      <c r="D180" s="59"/>
      <c r="E180" s="60"/>
      <c r="F180" t="str">
        <f t="shared" si="129"/>
        <v/>
      </c>
      <c r="G180" s="61" t="s">
        <v>189</v>
      </c>
      <c r="J180" s="64"/>
      <c r="K180" t="s">
        <v>2</v>
      </c>
      <c r="L180" t="str">
        <f>IF(J180&lt;&gt;"",CONCATENATE("&lt;p&gt;",J180,"&lt;/p&gt;"),"")</f>
        <v/>
      </c>
      <c r="M180" s="65"/>
      <c r="N180" t="str">
        <f t="shared" si="94"/>
        <v/>
      </c>
      <c r="O180" s="61" t="s">
        <v>189</v>
      </c>
      <c r="R180" s="64"/>
      <c r="S180" t="s">
        <v>2</v>
      </c>
      <c r="T180" t="str">
        <f>IF(R180&lt;&gt;"",R180,"")</f>
        <v/>
      </c>
      <c r="U180" s="65"/>
      <c r="V180" t="str">
        <f t="shared" si="93"/>
        <v/>
      </c>
      <c r="W180" s="61" t="s">
        <v>189</v>
      </c>
      <c r="Z180" s="64"/>
      <c r="AA180" t="s">
        <v>2</v>
      </c>
      <c r="AB180" t="str">
        <f>IF(Z180&lt;&gt;"",Z180,"")</f>
        <v/>
      </c>
      <c r="AC180" s="65"/>
    </row>
    <row r="181" spans="1:29">
      <c r="A181" s="58" t="s">
        <v>189</v>
      </c>
      <c r="B181" s="64"/>
      <c r="C181" t="s">
        <v>117</v>
      </c>
      <c r="D181" s="59"/>
      <c r="E181" s="60"/>
      <c r="F181" t="str">
        <f t="shared" si="129"/>
        <v/>
      </c>
      <c r="G181" s="61" t="str">
        <f t="shared" ref="G181:G183" si="131">""</f>
        <v/>
      </c>
      <c r="L181" t="s">
        <v>117</v>
      </c>
      <c r="M181" s="65"/>
      <c r="N181" t="str">
        <f t="shared" si="94"/>
        <v/>
      </c>
      <c r="O181" s="61" t="str">
        <f t="shared" ref="O181:O183" si="132">""</f>
        <v/>
      </c>
      <c r="T181" t="s">
        <v>117</v>
      </c>
      <c r="U181" s="65"/>
      <c r="V181" t="str">
        <f t="shared" si="93"/>
        <v/>
      </c>
      <c r="W181" s="61" t="str">
        <f t="shared" ref="W181:W183" si="133">""</f>
        <v/>
      </c>
      <c r="AB181" t="s">
        <v>117</v>
      </c>
      <c r="AC181" s="65"/>
    </row>
    <row r="182" ht="14.55" spans="1:29">
      <c r="A182" s="69" t="str">
        <f t="shared" si="130"/>
        <v/>
      </c>
      <c r="C182" s="49" t="str">
        <f>CONCATENATE("&lt;!-- ",CONCATENATE(B177," ",B178," fin")," --&gt;")</f>
        <v>&lt;!--   fin --&gt;</v>
      </c>
      <c r="D182" s="70"/>
      <c r="E182" s="71"/>
      <c r="F182" t="str">
        <f t="shared" si="129"/>
        <v/>
      </c>
      <c r="G182" s="72" t="str">
        <f t="shared" si="131"/>
        <v/>
      </c>
      <c r="H182" s="49"/>
      <c r="I182" s="49"/>
      <c r="J182" s="49"/>
      <c r="K182" s="49"/>
      <c r="L182" s="49" t="str">
        <f>CONCATENATE("&lt;!-- ",CONCATENATE(J177," ",J178," fin")," --&gt;")</f>
        <v>&lt;!--   fin --&gt;</v>
      </c>
      <c r="M182" s="73"/>
      <c r="N182" t="str">
        <f t="shared" si="94"/>
        <v/>
      </c>
      <c r="O182" s="72" t="str">
        <f t="shared" si="132"/>
        <v/>
      </c>
      <c r="P182" s="49"/>
      <c r="Q182" s="49"/>
      <c r="R182" s="49"/>
      <c r="S182" s="49"/>
      <c r="T182" s="49" t="str">
        <f>CONCATENATE("&lt;!-- ",R177," fin --&gt;")</f>
        <v>&lt;!--  fin --&gt;</v>
      </c>
      <c r="U182" s="73"/>
      <c r="V182" t="str">
        <f t="shared" si="93"/>
        <v/>
      </c>
      <c r="W182" s="72" t="str">
        <f t="shared" si="133"/>
        <v/>
      </c>
      <c r="X182" s="49"/>
      <c r="Y182" s="49"/>
      <c r="Z182" s="49"/>
      <c r="AA182" s="49"/>
      <c r="AB182" s="49" t="str">
        <f>CONCATENATE("&lt;!-- ",Z177," fin --&gt;")</f>
        <v>&lt;!--  fin --&gt;</v>
      </c>
      <c r="AC182" s="73"/>
    </row>
    <row r="183" ht="14.55" spans="1:29">
      <c r="A183" s="74" t="str">
        <f t="shared" si="130"/>
        <v/>
      </c>
      <c r="B183" s="52"/>
      <c r="C183" s="49" t="str">
        <f>""</f>
        <v/>
      </c>
      <c r="D183" s="49"/>
      <c r="E183" s="49"/>
      <c r="F183" t="str">
        <f t="shared" si="129"/>
        <v/>
      </c>
      <c r="G183" s="61" t="str">
        <f t="shared" si="131"/>
        <v/>
      </c>
      <c r="H183" s="75"/>
      <c r="I183" s="75"/>
      <c r="J183" s="52"/>
      <c r="K183" s="55"/>
      <c r="L183" s="49" t="str">
        <f>""</f>
        <v/>
      </c>
      <c r="N183" t="str">
        <f t="shared" si="94"/>
        <v/>
      </c>
      <c r="O183" s="54" t="str">
        <f t="shared" si="132"/>
        <v/>
      </c>
      <c r="P183" s="55"/>
      <c r="Q183" s="55"/>
      <c r="R183" s="52"/>
      <c r="S183" s="55"/>
      <c r="T183" s="49" t="str">
        <f>""</f>
        <v/>
      </c>
      <c r="V183" t="str">
        <f t="shared" si="93"/>
        <v/>
      </c>
      <c r="W183" s="54" t="str">
        <f t="shared" si="133"/>
        <v/>
      </c>
      <c r="X183" s="55"/>
      <c r="Y183" s="55"/>
      <c r="Z183" s="52"/>
      <c r="AA183" s="55"/>
      <c r="AB183" s="49" t="str">
        <f>""</f>
        <v/>
      </c>
    </row>
    <row r="184" spans="1:29">
      <c r="A184" s="50" t="str">
        <f>CONCATENATE("Título ",A186)</f>
        <v>Título 27</v>
      </c>
      <c r="B184" s="57"/>
      <c r="C184" s="51" t="str">
        <f>CONCATENATE("&lt;!-- ",CONCATENATE(B184," ",B185)," --&gt;")</f>
        <v>&lt;!--   --&gt;</v>
      </c>
      <c r="D184" s="52"/>
      <c r="E184" s="53" t="str">
        <f>""</f>
        <v/>
      </c>
      <c r="F184" t="str">
        <f t="shared" ref="F184:F190" si="134">""</f>
        <v/>
      </c>
      <c r="G184" s="54" t="str">
        <f>CONCATENATE("Título ",G186)</f>
        <v>Título 27</v>
      </c>
      <c r="H184" s="55"/>
      <c r="I184" s="55"/>
      <c r="J184" s="57"/>
      <c r="K184" s="55" t="s">
        <v>2</v>
      </c>
      <c r="L184" s="51" t="str">
        <f>CONCATENATE("&lt;!-- ",CONCATENATE(J184," ",J185)," --&gt;")</f>
        <v>&lt;!--   --&gt;</v>
      </c>
      <c r="M184" s="56"/>
      <c r="N184" t="str">
        <f t="shared" si="94"/>
        <v/>
      </c>
      <c r="O184" s="54" t="str">
        <f>G184</f>
        <v>Título 27</v>
      </c>
      <c r="P184" s="55"/>
      <c r="Q184" s="55"/>
      <c r="R184" s="57"/>
      <c r="S184" s="55"/>
      <c r="T184" s="55" t="str">
        <f>CONCATENATE("&lt;!-- ",R184," --&gt;")</f>
        <v>&lt;!--  --&gt;</v>
      </c>
      <c r="U184" s="56"/>
      <c r="V184" t="str">
        <f t="shared" si="93"/>
        <v/>
      </c>
      <c r="W184" s="54" t="str">
        <f>O184</f>
        <v>Título 27</v>
      </c>
      <c r="X184" s="55"/>
      <c r="Y184" s="55"/>
      <c r="Z184" s="57"/>
      <c r="AA184" s="55"/>
      <c r="AB184" s="55" t="str">
        <f>CONCATENATE("&lt;!-- ",Z184," --&gt;")</f>
        <v>&lt;!--  --&gt;</v>
      </c>
      <c r="AC184" s="56"/>
    </row>
    <row r="185" ht="14.4" spans="1:29">
      <c r="A185" s="58" t="s">
        <v>186</v>
      </c>
      <c r="C185" t="str">
        <f>IF(B186&lt;&gt;"",CONCATENATE("&lt;div id=",Comilla,B187,Comilla,"&gt;"),"")</f>
        <v/>
      </c>
      <c r="D185" s="59"/>
      <c r="E185" s="60" t="str">
        <f>CONCATENATE(" &lt;a href=",Comilla,"#",B187,Comilla," class=",Comilla,"submenu-item",Comilla,"&gt;",B184,"&lt;/a&gt;")</f>
        <v> &lt;a href="#" class="submenu-item"&gt;&lt;/a&gt;</v>
      </c>
      <c r="F185" t="str">
        <f t="shared" si="134"/>
        <v/>
      </c>
      <c r="G185" s="61" t="s">
        <v>186</v>
      </c>
      <c r="H185" s="62" t="s">
        <v>187</v>
      </c>
      <c r="I185" s="63" t="s">
        <v>188</v>
      </c>
      <c r="J185" s="64"/>
      <c r="L185" t="str">
        <f>IF(J184&lt;&gt;"","&lt;div&gt;","")</f>
        <v/>
      </c>
      <c r="M185" s="65"/>
      <c r="N185" t="str">
        <f t="shared" si="94"/>
        <v/>
      </c>
      <c r="O185" s="61" t="s">
        <v>186</v>
      </c>
      <c r="P185" s="62" t="s">
        <v>187</v>
      </c>
      <c r="Q185" s="63" t="s">
        <v>188</v>
      </c>
      <c r="T185" t="str">
        <f>CONCATENATE(P185,R185,Q185)</f>
        <v>&lt;div &gt;</v>
      </c>
      <c r="U185" s="65"/>
      <c r="V185" t="str">
        <f t="shared" si="93"/>
        <v/>
      </c>
      <c r="W185" s="61" t="s">
        <v>186</v>
      </c>
      <c r="X185" s="62" t="s">
        <v>187</v>
      </c>
      <c r="Y185" s="63" t="s">
        <v>188</v>
      </c>
      <c r="AB185" t="str">
        <f>CONCATENATE(X185,Z185,Y185)</f>
        <v>&lt;div &gt;</v>
      </c>
      <c r="AC185" s="65"/>
    </row>
    <row r="186" spans="1:29">
      <c r="A186" s="66">
        <f>A179+1</f>
        <v>27</v>
      </c>
      <c r="B186" s="67" t="str">
        <f>IF(B184="","",SUBSTITUTE(SUBSTITUTE(SUBSTITUTE(SUBSTITUTE(SUBSTITUTE(SUBSTITUTE(SUBSTITUTE(SUBSTITUTE(LOWER(CONCATENATE(B184," ",B185))," ","-"),"&lt;",""),"&gt;",""),"ó","o"),"?",""),"¿",""),"é","e"),"á","a"))</f>
        <v/>
      </c>
      <c r="C186" s="68" t="str">
        <f>CONCATENATE("&lt;h3&gt;",SUBSTITUTE(CONCATENATE(B184," ",B185),"&lt;","&amp;lt;"),"&lt;/h3&gt;")</f>
        <v>&lt;h3&gt; &lt;/h3&gt;</v>
      </c>
      <c r="D186" s="59"/>
      <c r="E186" s="60"/>
      <c r="F186" t="str">
        <f t="shared" si="134"/>
        <v/>
      </c>
      <c r="G186" s="61">
        <f>G179+1</f>
        <v>27</v>
      </c>
      <c r="J186" s="59"/>
      <c r="K186" s="59"/>
      <c r="L186" s="68" t="str">
        <f>CONCATENATE("&lt;h4&gt;",SUBSTITUTE(CONCATENATE(J184," ",J185),"&lt;","&amp;lt;"),"&lt;/h4&gt;")</f>
        <v>&lt;h4&gt; &lt;/h4&gt;</v>
      </c>
      <c r="M186" s="65"/>
      <c r="N186" t="str">
        <f t="shared" si="94"/>
        <v/>
      </c>
      <c r="O186" s="61">
        <f>O179+1</f>
        <v>27</v>
      </c>
      <c r="T186" t="str">
        <f>CONCATENATE("&lt;h5&gt;",R184,"&lt;/h5&gt;")</f>
        <v>&lt;h5&gt;&lt;/h5&gt;</v>
      </c>
      <c r="U186" s="65"/>
      <c r="V186" t="str">
        <f t="shared" si="93"/>
        <v/>
      </c>
      <c r="W186" s="61">
        <f>W179+1</f>
        <v>27</v>
      </c>
      <c r="AB186" t="str">
        <f>CONCATENATE("&lt;",$Y$1,"&gt;",Z184,"&lt;/",$Y$1,"&gt;")</f>
        <v>&lt;h6&gt;&lt;/h6&gt;</v>
      </c>
      <c r="AC186" s="65"/>
    </row>
    <row r="187" spans="1:29">
      <c r="A187" s="58" t="str">
        <f t="shared" ref="A187:A190" si="135">""</f>
        <v/>
      </c>
      <c r="B187" s="67" t="str">
        <f>IF(B186&lt;&gt;"",IF(B185="",LEFT(B186,LEN(B186)-1),B186),"")</f>
        <v/>
      </c>
      <c r="D187" s="59"/>
      <c r="E187" s="60"/>
      <c r="F187" t="str">
        <f t="shared" si="134"/>
        <v/>
      </c>
      <c r="G187" s="61" t="s">
        <v>189</v>
      </c>
      <c r="J187" s="64"/>
      <c r="K187" t="s">
        <v>2</v>
      </c>
      <c r="L187" t="str">
        <f>IF(J187&lt;&gt;"",CONCATENATE("&lt;p&gt;",J187,"&lt;/p&gt;"),"")</f>
        <v/>
      </c>
      <c r="M187" s="65"/>
      <c r="N187" t="str">
        <f t="shared" si="94"/>
        <v/>
      </c>
      <c r="O187" s="61" t="s">
        <v>189</v>
      </c>
      <c r="R187" s="64"/>
      <c r="S187" t="s">
        <v>2</v>
      </c>
      <c r="T187" t="str">
        <f>IF(R187&lt;&gt;"",R187,"")</f>
        <v/>
      </c>
      <c r="U187" s="65"/>
      <c r="V187" t="str">
        <f t="shared" si="93"/>
        <v/>
      </c>
      <c r="W187" s="61" t="s">
        <v>189</v>
      </c>
      <c r="Z187" s="64"/>
      <c r="AA187" t="s">
        <v>2</v>
      </c>
      <c r="AB187" t="str">
        <f>IF(Z187&lt;&gt;"",Z187,"")</f>
        <v/>
      </c>
      <c r="AC187" s="65"/>
    </row>
    <row r="188" spans="1:29">
      <c r="A188" s="58" t="s">
        <v>189</v>
      </c>
      <c r="B188" s="64"/>
      <c r="C188" t="s">
        <v>117</v>
      </c>
      <c r="D188" s="59"/>
      <c r="E188" s="60"/>
      <c r="F188" t="str">
        <f t="shared" si="134"/>
        <v/>
      </c>
      <c r="G188" s="61" t="str">
        <f t="shared" ref="G188:G190" si="136">""</f>
        <v/>
      </c>
      <c r="L188" t="s">
        <v>117</v>
      </c>
      <c r="M188" s="65"/>
      <c r="N188" t="str">
        <f t="shared" si="94"/>
        <v/>
      </c>
      <c r="O188" s="61" t="str">
        <f t="shared" ref="O188:O190" si="137">""</f>
        <v/>
      </c>
      <c r="T188" t="s">
        <v>117</v>
      </c>
      <c r="U188" s="65"/>
      <c r="V188" t="str">
        <f t="shared" si="93"/>
        <v/>
      </c>
      <c r="W188" s="61" t="str">
        <f t="shared" ref="W188:W190" si="138">""</f>
        <v/>
      </c>
      <c r="AB188" t="s">
        <v>117</v>
      </c>
      <c r="AC188" s="65"/>
    </row>
    <row r="189" ht="14.55" spans="1:29">
      <c r="A189" s="69" t="str">
        <f t="shared" si="135"/>
        <v/>
      </c>
      <c r="C189" s="49" t="str">
        <f>CONCATENATE("&lt;!-- ",CONCATENATE(B184," ",B185," fin")," --&gt;")</f>
        <v>&lt;!--   fin --&gt;</v>
      </c>
      <c r="D189" s="70"/>
      <c r="E189" s="71"/>
      <c r="F189" t="str">
        <f t="shared" si="134"/>
        <v/>
      </c>
      <c r="G189" s="72" t="str">
        <f t="shared" si="136"/>
        <v/>
      </c>
      <c r="H189" s="49"/>
      <c r="I189" s="49"/>
      <c r="J189" s="49"/>
      <c r="K189" s="49"/>
      <c r="L189" s="49" t="str">
        <f>CONCATENATE("&lt;!-- ",CONCATENATE(J184," ",J185," fin")," --&gt;")</f>
        <v>&lt;!--   fin --&gt;</v>
      </c>
      <c r="M189" s="73"/>
      <c r="N189" t="str">
        <f t="shared" si="94"/>
        <v/>
      </c>
      <c r="O189" s="72" t="str">
        <f t="shared" si="137"/>
        <v/>
      </c>
      <c r="P189" s="49"/>
      <c r="Q189" s="49"/>
      <c r="R189" s="49"/>
      <c r="S189" s="49"/>
      <c r="T189" s="49" t="str">
        <f>CONCATENATE("&lt;!-- ",R184," fin --&gt;")</f>
        <v>&lt;!--  fin --&gt;</v>
      </c>
      <c r="U189" s="73"/>
      <c r="V189" t="str">
        <f t="shared" si="93"/>
        <v/>
      </c>
      <c r="W189" s="72" t="str">
        <f t="shared" si="138"/>
        <v/>
      </c>
      <c r="X189" s="49"/>
      <c r="Y189" s="49"/>
      <c r="Z189" s="49"/>
      <c r="AA189" s="49"/>
      <c r="AB189" s="49" t="str">
        <f>CONCATENATE("&lt;!-- ",Z184," fin --&gt;")</f>
        <v>&lt;!--  fin --&gt;</v>
      </c>
      <c r="AC189" s="73"/>
    </row>
    <row r="190" ht="14.55" spans="1:29">
      <c r="A190" s="74" t="str">
        <f t="shared" si="135"/>
        <v/>
      </c>
      <c r="B190" s="52"/>
      <c r="C190" s="49" t="str">
        <f>""</f>
        <v/>
      </c>
      <c r="D190" s="49"/>
      <c r="E190" s="49"/>
      <c r="F190" t="str">
        <f t="shared" si="134"/>
        <v/>
      </c>
      <c r="G190" s="61" t="str">
        <f t="shared" si="136"/>
        <v/>
      </c>
      <c r="H190" s="75"/>
      <c r="I190" s="75"/>
      <c r="J190" s="52"/>
      <c r="K190" s="55"/>
      <c r="L190" s="49" t="str">
        <f>""</f>
        <v/>
      </c>
      <c r="N190" t="str">
        <f t="shared" si="94"/>
        <v/>
      </c>
      <c r="O190" s="54" t="str">
        <f t="shared" si="137"/>
        <v/>
      </c>
      <c r="P190" s="55"/>
      <c r="Q190" s="55"/>
      <c r="R190" s="52"/>
      <c r="S190" s="55"/>
      <c r="T190" s="49" t="str">
        <f>""</f>
        <v/>
      </c>
      <c r="V190" t="str">
        <f t="shared" si="93"/>
        <v/>
      </c>
      <c r="W190" s="54" t="str">
        <f t="shared" si="138"/>
        <v/>
      </c>
      <c r="X190" s="55"/>
      <c r="Y190" s="55"/>
      <c r="Z190" s="52"/>
      <c r="AA190" s="55"/>
      <c r="AB190" s="49" t="str">
        <f>""</f>
        <v/>
      </c>
    </row>
    <row r="191" spans="1:29">
      <c r="A191" s="50" t="str">
        <f>CONCATENATE("Título ",A193)</f>
        <v>Título 28</v>
      </c>
      <c r="B191" s="57"/>
      <c r="C191" s="51" t="str">
        <f>CONCATENATE("&lt;!-- ",CONCATENATE(B191," ",B192)," --&gt;")</f>
        <v>&lt;!--   --&gt;</v>
      </c>
      <c r="D191" s="52"/>
      <c r="E191" s="53" t="str">
        <f>""</f>
        <v/>
      </c>
      <c r="F191" t="str">
        <f t="shared" ref="F191:F197" si="139">""</f>
        <v/>
      </c>
      <c r="G191" s="54" t="str">
        <f>CONCATENATE("Título ",G193)</f>
        <v>Título 28</v>
      </c>
      <c r="H191" s="55"/>
      <c r="I191" s="55"/>
      <c r="J191" s="57"/>
      <c r="K191" s="55" t="s">
        <v>2</v>
      </c>
      <c r="L191" s="51" t="str">
        <f>CONCATENATE("&lt;!-- ",CONCATENATE(J191," ",J192)," --&gt;")</f>
        <v>&lt;!--   --&gt;</v>
      </c>
      <c r="M191" s="56"/>
      <c r="N191" t="str">
        <f t="shared" si="94"/>
        <v/>
      </c>
      <c r="O191" s="54" t="str">
        <f>G191</f>
        <v>Título 28</v>
      </c>
      <c r="P191" s="55"/>
      <c r="Q191" s="55"/>
      <c r="R191" s="57"/>
      <c r="S191" s="55"/>
      <c r="T191" s="55" t="str">
        <f>CONCATENATE("&lt;!-- ",R191," --&gt;")</f>
        <v>&lt;!--  --&gt;</v>
      </c>
      <c r="U191" s="56"/>
      <c r="V191" t="str">
        <f t="shared" si="93"/>
        <v/>
      </c>
      <c r="W191" s="54" t="str">
        <f>O191</f>
        <v>Título 28</v>
      </c>
      <c r="X191" s="55"/>
      <c r="Y191" s="55"/>
      <c r="Z191" s="57"/>
      <c r="AA191" s="55"/>
      <c r="AB191" s="55" t="str">
        <f>CONCATENATE("&lt;!-- ",Z191," --&gt;")</f>
        <v>&lt;!--  --&gt;</v>
      </c>
      <c r="AC191" s="56"/>
    </row>
    <row r="192" ht="14.4" spans="1:29">
      <c r="A192" s="58" t="s">
        <v>186</v>
      </c>
      <c r="C192" t="str">
        <f>IF(B193&lt;&gt;"",CONCATENATE("&lt;div id=",Comilla,B194,Comilla,"&gt;"),"")</f>
        <v/>
      </c>
      <c r="D192" s="59"/>
      <c r="E192" s="60" t="str">
        <f>CONCATENATE(" &lt;a href=",Comilla,"#",B194,Comilla," class=",Comilla,"submenu-item",Comilla,"&gt;",B191,"&lt;/a&gt;")</f>
        <v> &lt;a href="#" class="submenu-item"&gt;&lt;/a&gt;</v>
      </c>
      <c r="F192" t="str">
        <f t="shared" si="139"/>
        <v/>
      </c>
      <c r="G192" s="61" t="s">
        <v>186</v>
      </c>
      <c r="H192" s="62" t="s">
        <v>187</v>
      </c>
      <c r="I192" s="63" t="s">
        <v>188</v>
      </c>
      <c r="J192" s="64"/>
      <c r="L192" t="str">
        <f>IF(J191&lt;&gt;"","&lt;div&gt;","")</f>
        <v/>
      </c>
      <c r="M192" s="65"/>
      <c r="N192" t="str">
        <f t="shared" si="94"/>
        <v/>
      </c>
      <c r="O192" s="61" t="s">
        <v>186</v>
      </c>
      <c r="P192" s="62" t="s">
        <v>187</v>
      </c>
      <c r="Q192" s="63" t="s">
        <v>188</v>
      </c>
      <c r="T192" t="str">
        <f>CONCATENATE(P192,R192,Q192)</f>
        <v>&lt;div &gt;</v>
      </c>
      <c r="U192" s="65"/>
      <c r="V192" t="str">
        <f t="shared" ref="V192:V255" si="140">""</f>
        <v/>
      </c>
      <c r="W192" s="61" t="s">
        <v>186</v>
      </c>
      <c r="X192" s="62" t="s">
        <v>187</v>
      </c>
      <c r="Y192" s="63" t="s">
        <v>188</v>
      </c>
      <c r="AB192" t="str">
        <f>CONCATENATE(X192,Z192,Y192)</f>
        <v>&lt;div &gt;</v>
      </c>
      <c r="AC192" s="65"/>
    </row>
    <row r="193" spans="1:29">
      <c r="A193" s="66">
        <f>A186+1</f>
        <v>28</v>
      </c>
      <c r="B193" s="67" t="str">
        <f>IF(B191="","",SUBSTITUTE(SUBSTITUTE(SUBSTITUTE(SUBSTITUTE(SUBSTITUTE(SUBSTITUTE(SUBSTITUTE(SUBSTITUTE(LOWER(CONCATENATE(B191," ",B192))," ","-"),"&lt;",""),"&gt;",""),"ó","o"),"?",""),"¿",""),"é","e"),"á","a"))</f>
        <v/>
      </c>
      <c r="C193" s="68" t="str">
        <f>CONCATENATE("&lt;h3&gt;",SUBSTITUTE(CONCATENATE(B191," ",B192),"&lt;","&amp;lt;"),"&lt;/h3&gt;")</f>
        <v>&lt;h3&gt; &lt;/h3&gt;</v>
      </c>
      <c r="D193" s="59"/>
      <c r="E193" s="60"/>
      <c r="F193" t="str">
        <f t="shared" si="139"/>
        <v/>
      </c>
      <c r="G193" s="61">
        <f>G186+1</f>
        <v>28</v>
      </c>
      <c r="J193" s="59"/>
      <c r="K193" s="59"/>
      <c r="L193" s="68" t="str">
        <f>CONCATENATE("&lt;h4&gt;",SUBSTITUTE(CONCATENATE(J191," ",J192),"&lt;","&amp;lt;"),"&lt;/h4&gt;")</f>
        <v>&lt;h4&gt; &lt;/h4&gt;</v>
      </c>
      <c r="M193" s="65"/>
      <c r="N193" t="str">
        <f t="shared" ref="N193:N256" si="141">""</f>
        <v/>
      </c>
      <c r="O193" s="61">
        <f>O186+1</f>
        <v>28</v>
      </c>
      <c r="T193" t="str">
        <f>CONCATENATE("&lt;h5&gt;",R191,"&lt;/h5&gt;")</f>
        <v>&lt;h5&gt;&lt;/h5&gt;</v>
      </c>
      <c r="U193" s="65"/>
      <c r="V193" t="str">
        <f t="shared" si="140"/>
        <v/>
      </c>
      <c r="W193" s="61">
        <f>W186+1</f>
        <v>28</v>
      </c>
      <c r="AB193" t="str">
        <f>CONCATENATE("&lt;",$Y$1,"&gt;",Z191,"&lt;/",$Y$1,"&gt;")</f>
        <v>&lt;h6&gt;&lt;/h6&gt;</v>
      </c>
      <c r="AC193" s="65"/>
    </row>
    <row r="194" spans="1:29">
      <c r="A194" s="58" t="str">
        <f t="shared" ref="A194:A197" si="142">""</f>
        <v/>
      </c>
      <c r="B194" s="67" t="str">
        <f>IF(B193&lt;&gt;"",IF(B192="",LEFT(B193,LEN(B193)-1),B193),"")</f>
        <v/>
      </c>
      <c r="D194" s="59"/>
      <c r="E194" s="60"/>
      <c r="F194" t="str">
        <f t="shared" si="139"/>
        <v/>
      </c>
      <c r="G194" s="61" t="s">
        <v>189</v>
      </c>
      <c r="J194" s="64"/>
      <c r="K194" t="s">
        <v>2</v>
      </c>
      <c r="L194" t="str">
        <f>IF(J194&lt;&gt;"",CONCATENATE("&lt;p&gt;",J194,"&lt;/p&gt;"),"")</f>
        <v/>
      </c>
      <c r="M194" s="65"/>
      <c r="N194" t="str">
        <f t="shared" si="141"/>
        <v/>
      </c>
      <c r="O194" s="61" t="s">
        <v>189</v>
      </c>
      <c r="R194" s="64"/>
      <c r="S194" t="s">
        <v>2</v>
      </c>
      <c r="T194" t="str">
        <f>IF(R194&lt;&gt;"",R194,"")</f>
        <v/>
      </c>
      <c r="U194" s="65"/>
      <c r="V194" t="str">
        <f t="shared" si="140"/>
        <v/>
      </c>
      <c r="W194" s="61" t="s">
        <v>189</v>
      </c>
      <c r="Z194" s="64"/>
      <c r="AA194" t="s">
        <v>2</v>
      </c>
      <c r="AB194" t="str">
        <f>IF(Z194&lt;&gt;"",Z194,"")</f>
        <v/>
      </c>
      <c r="AC194" s="65"/>
    </row>
    <row r="195" spans="1:29">
      <c r="A195" s="58" t="s">
        <v>189</v>
      </c>
      <c r="B195" s="64"/>
      <c r="C195" t="s">
        <v>117</v>
      </c>
      <c r="D195" s="59"/>
      <c r="E195" s="60"/>
      <c r="F195" t="str">
        <f t="shared" si="139"/>
        <v/>
      </c>
      <c r="G195" s="61" t="str">
        <f t="shared" ref="G195:G197" si="143">""</f>
        <v/>
      </c>
      <c r="L195" t="s">
        <v>117</v>
      </c>
      <c r="M195" s="65"/>
      <c r="N195" t="str">
        <f t="shared" si="141"/>
        <v/>
      </c>
      <c r="O195" s="61" t="str">
        <f t="shared" ref="O195:O197" si="144">""</f>
        <v/>
      </c>
      <c r="T195" t="s">
        <v>117</v>
      </c>
      <c r="U195" s="65"/>
      <c r="V195" t="str">
        <f t="shared" si="140"/>
        <v/>
      </c>
      <c r="W195" s="61" t="str">
        <f t="shared" ref="W195:W197" si="145">""</f>
        <v/>
      </c>
      <c r="AB195" t="s">
        <v>117</v>
      </c>
      <c r="AC195" s="65"/>
    </row>
    <row r="196" ht="14.55" spans="1:29">
      <c r="A196" s="69" t="str">
        <f t="shared" si="142"/>
        <v/>
      </c>
      <c r="C196" s="49" t="str">
        <f>CONCATENATE("&lt;!-- ",CONCATENATE(B191," ",B192," fin")," --&gt;")</f>
        <v>&lt;!--   fin --&gt;</v>
      </c>
      <c r="D196" s="70"/>
      <c r="E196" s="71"/>
      <c r="F196" t="str">
        <f t="shared" si="139"/>
        <v/>
      </c>
      <c r="G196" s="72" t="str">
        <f t="shared" si="143"/>
        <v/>
      </c>
      <c r="H196" s="49"/>
      <c r="I196" s="49"/>
      <c r="J196" s="49"/>
      <c r="K196" s="49"/>
      <c r="L196" s="49" t="str">
        <f>CONCATENATE("&lt;!-- ",CONCATENATE(J191," ",J192," fin")," --&gt;")</f>
        <v>&lt;!--   fin --&gt;</v>
      </c>
      <c r="M196" s="73"/>
      <c r="N196" t="str">
        <f t="shared" si="141"/>
        <v/>
      </c>
      <c r="O196" s="72" t="str">
        <f t="shared" si="144"/>
        <v/>
      </c>
      <c r="P196" s="49"/>
      <c r="Q196" s="49"/>
      <c r="R196" s="49"/>
      <c r="S196" s="49"/>
      <c r="T196" s="49" t="str">
        <f>CONCATENATE("&lt;!-- ",R191," fin --&gt;")</f>
        <v>&lt;!--  fin --&gt;</v>
      </c>
      <c r="U196" s="73"/>
      <c r="V196" t="str">
        <f t="shared" si="140"/>
        <v/>
      </c>
      <c r="W196" s="72" t="str">
        <f t="shared" si="145"/>
        <v/>
      </c>
      <c r="X196" s="49"/>
      <c r="Y196" s="49"/>
      <c r="Z196" s="49"/>
      <c r="AA196" s="49"/>
      <c r="AB196" s="49" t="str">
        <f>CONCATENATE("&lt;!-- ",Z191," fin --&gt;")</f>
        <v>&lt;!--  fin --&gt;</v>
      </c>
      <c r="AC196" s="73"/>
    </row>
    <row r="197" ht="14.55" spans="1:29">
      <c r="A197" s="74" t="str">
        <f t="shared" si="142"/>
        <v/>
      </c>
      <c r="B197" s="52"/>
      <c r="C197" s="49" t="str">
        <f>""</f>
        <v/>
      </c>
      <c r="D197" s="49"/>
      <c r="E197" s="49"/>
      <c r="F197" t="str">
        <f t="shared" si="139"/>
        <v/>
      </c>
      <c r="G197" s="61" t="str">
        <f t="shared" si="143"/>
        <v/>
      </c>
      <c r="H197" s="75"/>
      <c r="I197" s="75"/>
      <c r="J197" s="52"/>
      <c r="K197" s="55"/>
      <c r="L197" s="49" t="str">
        <f>""</f>
        <v/>
      </c>
      <c r="N197" t="str">
        <f t="shared" si="141"/>
        <v/>
      </c>
      <c r="O197" s="54" t="str">
        <f t="shared" si="144"/>
        <v/>
      </c>
      <c r="P197" s="55"/>
      <c r="Q197" s="55"/>
      <c r="R197" s="52"/>
      <c r="S197" s="55"/>
      <c r="T197" s="49" t="str">
        <f>""</f>
        <v/>
      </c>
      <c r="V197" t="str">
        <f t="shared" si="140"/>
        <v/>
      </c>
      <c r="W197" s="54" t="str">
        <f t="shared" si="145"/>
        <v/>
      </c>
      <c r="X197" s="55"/>
      <c r="Y197" s="55"/>
      <c r="Z197" s="52"/>
      <c r="AA197" s="55"/>
      <c r="AB197" s="49" t="str">
        <f>""</f>
        <v/>
      </c>
    </row>
    <row r="198" spans="1:29">
      <c r="A198" s="50" t="str">
        <f>CONCATENATE("Título ",A200)</f>
        <v>Título 29</v>
      </c>
      <c r="B198" s="57"/>
      <c r="C198" s="51" t="str">
        <f>CONCATENATE("&lt;!-- ",CONCATENATE(B198," ",B199)," --&gt;")</f>
        <v>&lt;!--   --&gt;</v>
      </c>
      <c r="D198" s="52"/>
      <c r="E198" s="53" t="str">
        <f>""</f>
        <v/>
      </c>
      <c r="F198" t="str">
        <f t="shared" ref="F198:F204" si="146">""</f>
        <v/>
      </c>
      <c r="G198" s="54" t="str">
        <f>CONCATENATE("Título ",G200)</f>
        <v>Título 29</v>
      </c>
      <c r="H198" s="55"/>
      <c r="I198" s="55"/>
      <c r="J198" s="57"/>
      <c r="K198" s="55" t="s">
        <v>2</v>
      </c>
      <c r="L198" s="51" t="str">
        <f>CONCATENATE("&lt;!-- ",CONCATENATE(J198," ",J199)," --&gt;")</f>
        <v>&lt;!--   --&gt;</v>
      </c>
      <c r="M198" s="56"/>
      <c r="N198" t="str">
        <f t="shared" si="141"/>
        <v/>
      </c>
      <c r="O198" s="54" t="str">
        <f>G198</f>
        <v>Título 29</v>
      </c>
      <c r="P198" s="55"/>
      <c r="Q198" s="55"/>
      <c r="R198" s="57"/>
      <c r="S198" s="55"/>
      <c r="T198" s="55" t="str">
        <f>CONCATENATE("&lt;!-- ",R198," --&gt;")</f>
        <v>&lt;!--  --&gt;</v>
      </c>
      <c r="U198" s="56"/>
      <c r="V198" t="str">
        <f t="shared" si="140"/>
        <v/>
      </c>
      <c r="W198" s="54" t="str">
        <f>O198</f>
        <v>Título 29</v>
      </c>
      <c r="X198" s="55"/>
      <c r="Y198" s="55"/>
      <c r="Z198" s="57"/>
      <c r="AA198" s="55"/>
      <c r="AB198" s="55" t="str">
        <f>CONCATENATE("&lt;!-- ",Z198," --&gt;")</f>
        <v>&lt;!--  --&gt;</v>
      </c>
      <c r="AC198" s="56"/>
    </row>
    <row r="199" ht="14.4" spans="1:29">
      <c r="A199" s="58" t="s">
        <v>186</v>
      </c>
      <c r="C199" t="str">
        <f>IF(B200&lt;&gt;"",CONCATENATE("&lt;div id=",Comilla,B201,Comilla,"&gt;"),"")</f>
        <v/>
      </c>
      <c r="D199" s="59"/>
      <c r="E199" s="60" t="str">
        <f>CONCATENATE(" &lt;a href=",Comilla,"#",B201,Comilla," class=",Comilla,"submenu-item",Comilla,"&gt;",B198,"&lt;/a&gt;")</f>
        <v> &lt;a href="#" class="submenu-item"&gt;&lt;/a&gt;</v>
      </c>
      <c r="F199" t="str">
        <f t="shared" si="146"/>
        <v/>
      </c>
      <c r="G199" s="61" t="s">
        <v>186</v>
      </c>
      <c r="H199" s="62" t="s">
        <v>187</v>
      </c>
      <c r="I199" s="63" t="s">
        <v>188</v>
      </c>
      <c r="J199" s="64"/>
      <c r="L199" t="str">
        <f>IF(J198&lt;&gt;"","&lt;div&gt;","")</f>
        <v/>
      </c>
      <c r="M199" s="65"/>
      <c r="N199" t="str">
        <f t="shared" si="141"/>
        <v/>
      </c>
      <c r="O199" s="61" t="s">
        <v>186</v>
      </c>
      <c r="P199" s="62" t="s">
        <v>187</v>
      </c>
      <c r="Q199" s="63" t="s">
        <v>188</v>
      </c>
      <c r="T199" t="str">
        <f>CONCATENATE(P199,R199,Q199)</f>
        <v>&lt;div &gt;</v>
      </c>
      <c r="U199" s="65"/>
      <c r="V199" t="str">
        <f t="shared" si="140"/>
        <v/>
      </c>
      <c r="W199" s="61" t="s">
        <v>186</v>
      </c>
      <c r="X199" s="62" t="s">
        <v>187</v>
      </c>
      <c r="Y199" s="63" t="s">
        <v>188</v>
      </c>
      <c r="AB199" t="str">
        <f>CONCATENATE(X199,Z199,Y199)</f>
        <v>&lt;div &gt;</v>
      </c>
      <c r="AC199" s="65"/>
    </row>
    <row r="200" spans="1:29">
      <c r="A200" s="66">
        <f>A193+1</f>
        <v>29</v>
      </c>
      <c r="B200" s="67" t="str">
        <f>IF(B198="","",SUBSTITUTE(SUBSTITUTE(SUBSTITUTE(SUBSTITUTE(SUBSTITUTE(SUBSTITUTE(SUBSTITUTE(SUBSTITUTE(LOWER(CONCATENATE(B198," ",B199))," ","-"),"&lt;",""),"&gt;",""),"ó","o"),"?",""),"¿",""),"é","e"),"á","a"))</f>
        <v/>
      </c>
      <c r="C200" s="68" t="str">
        <f>CONCATENATE("&lt;h3&gt;",SUBSTITUTE(CONCATENATE(B198," ",B199),"&lt;","&amp;lt;"),"&lt;/h3&gt;")</f>
        <v>&lt;h3&gt; &lt;/h3&gt;</v>
      </c>
      <c r="D200" s="59"/>
      <c r="E200" s="60"/>
      <c r="F200" t="str">
        <f t="shared" si="146"/>
        <v/>
      </c>
      <c r="G200" s="61">
        <f>G193+1</f>
        <v>29</v>
      </c>
      <c r="J200" s="59"/>
      <c r="K200" s="59"/>
      <c r="L200" s="68" t="str">
        <f>CONCATENATE("&lt;h4&gt;",SUBSTITUTE(CONCATENATE(J198," ",J199),"&lt;","&amp;lt;"),"&lt;/h4&gt;")</f>
        <v>&lt;h4&gt; &lt;/h4&gt;</v>
      </c>
      <c r="M200" s="65"/>
      <c r="N200" t="str">
        <f t="shared" si="141"/>
        <v/>
      </c>
      <c r="O200" s="61">
        <f>O193+1</f>
        <v>29</v>
      </c>
      <c r="T200" t="str">
        <f>CONCATENATE("&lt;h5&gt;",R198,"&lt;/h5&gt;")</f>
        <v>&lt;h5&gt;&lt;/h5&gt;</v>
      </c>
      <c r="U200" s="65"/>
      <c r="V200" t="str">
        <f t="shared" si="140"/>
        <v/>
      </c>
      <c r="W200" s="61">
        <f>W193+1</f>
        <v>29</v>
      </c>
      <c r="AB200" t="str">
        <f>CONCATENATE("&lt;",$Y$1,"&gt;",Z198,"&lt;/",$Y$1,"&gt;")</f>
        <v>&lt;h6&gt;&lt;/h6&gt;</v>
      </c>
      <c r="AC200" s="65"/>
    </row>
    <row r="201" spans="1:29">
      <c r="A201" s="58" t="str">
        <f t="shared" ref="A201:A204" si="147">""</f>
        <v/>
      </c>
      <c r="B201" s="67" t="str">
        <f>IF(B200&lt;&gt;"",IF(B199="",LEFT(B200,LEN(B200)-1),B200),"")</f>
        <v/>
      </c>
      <c r="D201" s="59"/>
      <c r="E201" s="60"/>
      <c r="F201" t="str">
        <f t="shared" si="146"/>
        <v/>
      </c>
      <c r="G201" s="61" t="s">
        <v>189</v>
      </c>
      <c r="J201" s="64"/>
      <c r="K201" t="s">
        <v>2</v>
      </c>
      <c r="L201" t="str">
        <f>IF(J201&lt;&gt;"",CONCATENATE("&lt;p&gt;",J201,"&lt;/p&gt;"),"")</f>
        <v/>
      </c>
      <c r="M201" s="65"/>
      <c r="N201" t="str">
        <f t="shared" si="141"/>
        <v/>
      </c>
      <c r="O201" s="61" t="s">
        <v>189</v>
      </c>
      <c r="R201" s="64"/>
      <c r="S201" t="s">
        <v>2</v>
      </c>
      <c r="T201" t="str">
        <f>IF(R201&lt;&gt;"",R201,"")</f>
        <v/>
      </c>
      <c r="U201" s="65"/>
      <c r="V201" t="str">
        <f t="shared" si="140"/>
        <v/>
      </c>
      <c r="W201" s="61" t="s">
        <v>189</v>
      </c>
      <c r="Z201" s="64"/>
      <c r="AA201" t="s">
        <v>2</v>
      </c>
      <c r="AB201" t="str">
        <f>IF(Z201&lt;&gt;"",Z201,"")</f>
        <v/>
      </c>
      <c r="AC201" s="65"/>
    </row>
    <row r="202" spans="1:29">
      <c r="A202" s="58" t="s">
        <v>189</v>
      </c>
      <c r="B202" s="64"/>
      <c r="C202" t="s">
        <v>117</v>
      </c>
      <c r="D202" s="59"/>
      <c r="E202" s="60"/>
      <c r="F202" t="str">
        <f t="shared" si="146"/>
        <v/>
      </c>
      <c r="G202" s="61" t="str">
        <f t="shared" ref="G202:G204" si="148">""</f>
        <v/>
      </c>
      <c r="L202" t="s">
        <v>117</v>
      </c>
      <c r="M202" s="65"/>
      <c r="N202" t="str">
        <f t="shared" si="141"/>
        <v/>
      </c>
      <c r="O202" s="61" t="str">
        <f t="shared" ref="O202:O204" si="149">""</f>
        <v/>
      </c>
      <c r="T202" t="s">
        <v>117</v>
      </c>
      <c r="U202" s="65"/>
      <c r="V202" t="str">
        <f t="shared" si="140"/>
        <v/>
      </c>
      <c r="W202" s="61" t="str">
        <f t="shared" ref="W202:W204" si="150">""</f>
        <v/>
      </c>
      <c r="AB202" t="s">
        <v>117</v>
      </c>
      <c r="AC202" s="65"/>
    </row>
    <row r="203" ht="14.55" spans="1:29">
      <c r="A203" s="69" t="str">
        <f t="shared" si="147"/>
        <v/>
      </c>
      <c r="C203" s="49" t="str">
        <f>CONCATENATE("&lt;!-- ",CONCATENATE(B198," ",B199," fin")," --&gt;")</f>
        <v>&lt;!--   fin --&gt;</v>
      </c>
      <c r="D203" s="70"/>
      <c r="E203" s="71"/>
      <c r="F203" t="str">
        <f t="shared" si="146"/>
        <v/>
      </c>
      <c r="G203" s="72" t="str">
        <f t="shared" si="148"/>
        <v/>
      </c>
      <c r="H203" s="49"/>
      <c r="I203" s="49"/>
      <c r="J203" s="49"/>
      <c r="K203" s="49"/>
      <c r="L203" s="49" t="str">
        <f>CONCATENATE("&lt;!-- ",CONCATENATE(J198," ",J199," fin")," --&gt;")</f>
        <v>&lt;!--   fin --&gt;</v>
      </c>
      <c r="M203" s="73"/>
      <c r="N203" t="str">
        <f t="shared" si="141"/>
        <v/>
      </c>
      <c r="O203" s="72" t="str">
        <f t="shared" si="149"/>
        <v/>
      </c>
      <c r="P203" s="49"/>
      <c r="Q203" s="49"/>
      <c r="R203" s="49"/>
      <c r="S203" s="49"/>
      <c r="T203" s="49" t="str">
        <f>CONCATENATE("&lt;!-- ",R198," fin --&gt;")</f>
        <v>&lt;!--  fin --&gt;</v>
      </c>
      <c r="U203" s="73"/>
      <c r="V203" t="str">
        <f t="shared" si="140"/>
        <v/>
      </c>
      <c r="W203" s="72" t="str">
        <f t="shared" si="150"/>
        <v/>
      </c>
      <c r="X203" s="49"/>
      <c r="Y203" s="49"/>
      <c r="Z203" s="49"/>
      <c r="AA203" s="49"/>
      <c r="AB203" s="49" t="str">
        <f>CONCATENATE("&lt;!-- ",Z198," fin --&gt;")</f>
        <v>&lt;!--  fin --&gt;</v>
      </c>
      <c r="AC203" s="73"/>
    </row>
    <row r="204" ht="14.55" spans="1:29">
      <c r="A204" s="74" t="str">
        <f t="shared" si="147"/>
        <v/>
      </c>
      <c r="B204" s="52"/>
      <c r="C204" s="49" t="str">
        <f>""</f>
        <v/>
      </c>
      <c r="D204" s="49"/>
      <c r="E204" s="49"/>
      <c r="F204" t="str">
        <f t="shared" si="146"/>
        <v/>
      </c>
      <c r="G204" s="61" t="str">
        <f t="shared" si="148"/>
        <v/>
      </c>
      <c r="H204" s="75"/>
      <c r="I204" s="75"/>
      <c r="J204" s="52"/>
      <c r="K204" s="55"/>
      <c r="L204" s="49" t="str">
        <f>""</f>
        <v/>
      </c>
      <c r="N204" t="str">
        <f t="shared" si="141"/>
        <v/>
      </c>
      <c r="O204" s="54" t="str">
        <f t="shared" si="149"/>
        <v/>
      </c>
      <c r="P204" s="55"/>
      <c r="Q204" s="55"/>
      <c r="R204" s="52"/>
      <c r="S204" s="55"/>
      <c r="T204" s="49" t="str">
        <f>""</f>
        <v/>
      </c>
      <c r="V204" t="str">
        <f t="shared" si="140"/>
        <v/>
      </c>
      <c r="W204" s="54" t="str">
        <f t="shared" si="150"/>
        <v/>
      </c>
      <c r="X204" s="55"/>
      <c r="Y204" s="55"/>
      <c r="Z204" s="52"/>
      <c r="AA204" s="55"/>
      <c r="AB204" s="49" t="str">
        <f>""</f>
        <v/>
      </c>
    </row>
    <row r="205" spans="1:29">
      <c r="A205" s="50" t="str">
        <f>CONCATENATE("Título ",A207)</f>
        <v>Título 30</v>
      </c>
      <c r="B205" s="57"/>
      <c r="C205" s="51" t="str">
        <f>CONCATENATE("&lt;!-- ",CONCATENATE(B205," ",B206)," --&gt;")</f>
        <v>&lt;!--   --&gt;</v>
      </c>
      <c r="D205" s="52"/>
      <c r="E205" s="53" t="str">
        <f>""</f>
        <v/>
      </c>
      <c r="F205" t="str">
        <f t="shared" ref="F205:F211" si="151">""</f>
        <v/>
      </c>
      <c r="G205" s="54" t="str">
        <f>CONCATENATE("Título ",G207)</f>
        <v>Título 30</v>
      </c>
      <c r="H205" s="55"/>
      <c r="I205" s="55"/>
      <c r="J205" s="57"/>
      <c r="K205" s="55" t="s">
        <v>2</v>
      </c>
      <c r="L205" s="51" t="str">
        <f>CONCATENATE("&lt;!-- ",CONCATENATE(J205," ",J206)," --&gt;")</f>
        <v>&lt;!--   --&gt;</v>
      </c>
      <c r="M205" s="56"/>
      <c r="N205" t="str">
        <f t="shared" si="141"/>
        <v/>
      </c>
      <c r="O205" s="54" t="str">
        <f>G205</f>
        <v>Título 30</v>
      </c>
      <c r="P205" s="55"/>
      <c r="Q205" s="55"/>
      <c r="R205" s="57"/>
      <c r="S205" s="55"/>
      <c r="T205" s="55" t="str">
        <f>CONCATENATE("&lt;!-- ",R205," --&gt;")</f>
        <v>&lt;!--  --&gt;</v>
      </c>
      <c r="U205" s="56"/>
      <c r="V205" t="str">
        <f t="shared" si="140"/>
        <v/>
      </c>
      <c r="W205" s="54" t="str">
        <f>O205</f>
        <v>Título 30</v>
      </c>
      <c r="X205" s="55"/>
      <c r="Y205" s="55"/>
      <c r="Z205" s="57"/>
      <c r="AA205" s="55"/>
      <c r="AB205" s="55" t="str">
        <f>CONCATENATE("&lt;!-- ",Z205," --&gt;")</f>
        <v>&lt;!--  --&gt;</v>
      </c>
      <c r="AC205" s="56"/>
    </row>
    <row r="206" ht="14.4" spans="1:29">
      <c r="A206" s="58" t="s">
        <v>186</v>
      </c>
      <c r="C206" t="str">
        <f>IF(B207&lt;&gt;"",CONCATENATE("&lt;div id=",Comilla,B208,Comilla,"&gt;"),"")</f>
        <v/>
      </c>
      <c r="D206" s="59"/>
      <c r="E206" s="60" t="str">
        <f>CONCATENATE(" &lt;a href=",Comilla,"#",B208,Comilla," class=",Comilla,"submenu-item",Comilla,"&gt;",B205,"&lt;/a&gt;")</f>
        <v> &lt;a href="#" class="submenu-item"&gt;&lt;/a&gt;</v>
      </c>
      <c r="F206" t="str">
        <f t="shared" si="151"/>
        <v/>
      </c>
      <c r="G206" s="61" t="s">
        <v>186</v>
      </c>
      <c r="H206" s="62" t="s">
        <v>187</v>
      </c>
      <c r="I206" s="63" t="s">
        <v>188</v>
      </c>
      <c r="J206" s="64"/>
      <c r="L206" t="str">
        <f>IF(J205&lt;&gt;"","&lt;div&gt;","")</f>
        <v/>
      </c>
      <c r="M206" s="65"/>
      <c r="N206" t="str">
        <f t="shared" si="141"/>
        <v/>
      </c>
      <c r="O206" s="61" t="s">
        <v>186</v>
      </c>
      <c r="P206" s="62" t="s">
        <v>187</v>
      </c>
      <c r="Q206" s="63" t="s">
        <v>188</v>
      </c>
      <c r="T206" t="str">
        <f>CONCATENATE(P206,R206,Q206)</f>
        <v>&lt;div &gt;</v>
      </c>
      <c r="U206" s="65"/>
      <c r="V206" t="str">
        <f t="shared" si="140"/>
        <v/>
      </c>
      <c r="W206" s="61" t="s">
        <v>186</v>
      </c>
      <c r="X206" s="62" t="s">
        <v>187</v>
      </c>
      <c r="Y206" s="63" t="s">
        <v>188</v>
      </c>
      <c r="AB206" t="str">
        <f>CONCATENATE(X206,Z206,Y206)</f>
        <v>&lt;div &gt;</v>
      </c>
      <c r="AC206" s="65"/>
    </row>
    <row r="207" spans="1:29">
      <c r="A207" s="66">
        <f>A200+1</f>
        <v>30</v>
      </c>
      <c r="B207" s="67" t="str">
        <f>IF(B205="","",SUBSTITUTE(SUBSTITUTE(SUBSTITUTE(SUBSTITUTE(SUBSTITUTE(SUBSTITUTE(SUBSTITUTE(SUBSTITUTE(LOWER(CONCATENATE(B205," ",B206))," ","-"),"&lt;",""),"&gt;",""),"ó","o"),"?",""),"¿",""),"é","e"),"á","a"))</f>
        <v/>
      </c>
      <c r="C207" s="68" t="str">
        <f>CONCATENATE("&lt;h3&gt;",SUBSTITUTE(CONCATENATE(B205," ",B206),"&lt;","&amp;lt;"),"&lt;/h3&gt;")</f>
        <v>&lt;h3&gt; &lt;/h3&gt;</v>
      </c>
      <c r="D207" s="59"/>
      <c r="E207" s="60"/>
      <c r="F207" t="str">
        <f t="shared" si="151"/>
        <v/>
      </c>
      <c r="G207" s="61">
        <f>G200+1</f>
        <v>30</v>
      </c>
      <c r="J207" s="59"/>
      <c r="K207" s="59"/>
      <c r="L207" s="68" t="str">
        <f>CONCATENATE("&lt;h4&gt;",SUBSTITUTE(CONCATENATE(J205," ",J206),"&lt;","&amp;lt;"),"&lt;/h4&gt;")</f>
        <v>&lt;h4&gt; &lt;/h4&gt;</v>
      </c>
      <c r="M207" s="65"/>
      <c r="N207" t="str">
        <f t="shared" si="141"/>
        <v/>
      </c>
      <c r="O207" s="61">
        <f>O200+1</f>
        <v>30</v>
      </c>
      <c r="T207" t="str">
        <f>CONCATENATE("&lt;h5&gt;",R205,"&lt;/h5&gt;")</f>
        <v>&lt;h5&gt;&lt;/h5&gt;</v>
      </c>
      <c r="U207" s="65"/>
      <c r="V207" t="str">
        <f t="shared" si="140"/>
        <v/>
      </c>
      <c r="W207" s="61">
        <f>W200+1</f>
        <v>30</v>
      </c>
      <c r="AB207" t="str">
        <f>CONCATENATE("&lt;",$Y$1,"&gt;",Z205,"&lt;/",$Y$1,"&gt;")</f>
        <v>&lt;h6&gt;&lt;/h6&gt;</v>
      </c>
      <c r="AC207" s="65"/>
    </row>
    <row r="208" spans="1:29">
      <c r="A208" s="58" t="str">
        <f t="shared" ref="A208:A211" si="152">""</f>
        <v/>
      </c>
      <c r="B208" s="67" t="str">
        <f>IF(B207&lt;&gt;"",IF(B206="",LEFT(B207,LEN(B207)-1),B207),"")</f>
        <v/>
      </c>
      <c r="D208" s="59"/>
      <c r="E208" s="60"/>
      <c r="F208" t="str">
        <f t="shared" si="151"/>
        <v/>
      </c>
      <c r="G208" s="61" t="s">
        <v>189</v>
      </c>
      <c r="J208" s="64"/>
      <c r="K208" t="s">
        <v>2</v>
      </c>
      <c r="L208" t="str">
        <f>IF(J208&lt;&gt;"",CONCATENATE("&lt;p&gt;",J208,"&lt;/p&gt;"),"")</f>
        <v/>
      </c>
      <c r="M208" s="65"/>
      <c r="N208" t="str">
        <f t="shared" si="141"/>
        <v/>
      </c>
      <c r="O208" s="61" t="s">
        <v>189</v>
      </c>
      <c r="R208" s="64"/>
      <c r="S208" t="s">
        <v>2</v>
      </c>
      <c r="T208" t="str">
        <f>IF(R208&lt;&gt;"",R208,"")</f>
        <v/>
      </c>
      <c r="U208" s="65"/>
      <c r="V208" t="str">
        <f t="shared" si="140"/>
        <v/>
      </c>
      <c r="W208" s="61" t="s">
        <v>189</v>
      </c>
      <c r="Z208" s="64"/>
      <c r="AA208" t="s">
        <v>2</v>
      </c>
      <c r="AB208" t="str">
        <f>IF(Z208&lt;&gt;"",Z208,"")</f>
        <v/>
      </c>
      <c r="AC208" s="65"/>
    </row>
    <row r="209" spans="1:29">
      <c r="A209" s="58" t="s">
        <v>189</v>
      </c>
      <c r="B209" s="64"/>
      <c r="C209" t="s">
        <v>117</v>
      </c>
      <c r="D209" s="59"/>
      <c r="E209" s="60"/>
      <c r="F209" t="str">
        <f t="shared" si="151"/>
        <v/>
      </c>
      <c r="G209" s="61" t="str">
        <f t="shared" ref="G209:G211" si="153">""</f>
        <v/>
      </c>
      <c r="L209" t="s">
        <v>117</v>
      </c>
      <c r="M209" s="65"/>
      <c r="N209" t="str">
        <f t="shared" si="141"/>
        <v/>
      </c>
      <c r="O209" s="61" t="str">
        <f t="shared" ref="O209:O211" si="154">""</f>
        <v/>
      </c>
      <c r="T209" t="s">
        <v>117</v>
      </c>
      <c r="U209" s="65"/>
      <c r="V209" t="str">
        <f t="shared" si="140"/>
        <v/>
      </c>
      <c r="W209" s="61" t="str">
        <f t="shared" ref="W209:W211" si="155">""</f>
        <v/>
      </c>
      <c r="AB209" t="s">
        <v>117</v>
      </c>
      <c r="AC209" s="65"/>
    </row>
    <row r="210" ht="14.55" spans="1:29">
      <c r="A210" s="69" t="str">
        <f t="shared" si="152"/>
        <v/>
      </c>
      <c r="C210" s="49" t="str">
        <f>CONCATENATE("&lt;!-- ",CONCATENATE(B205," ",B206," fin")," --&gt;")</f>
        <v>&lt;!--   fin --&gt;</v>
      </c>
      <c r="D210" s="70"/>
      <c r="E210" s="71"/>
      <c r="F210" t="str">
        <f t="shared" si="151"/>
        <v/>
      </c>
      <c r="G210" s="72" t="str">
        <f t="shared" si="153"/>
        <v/>
      </c>
      <c r="H210" s="49"/>
      <c r="I210" s="49"/>
      <c r="J210" s="49"/>
      <c r="K210" s="49"/>
      <c r="L210" s="49" t="str">
        <f>CONCATENATE("&lt;!-- ",CONCATENATE(J205," ",J206," fin")," --&gt;")</f>
        <v>&lt;!--   fin --&gt;</v>
      </c>
      <c r="M210" s="73"/>
      <c r="N210" t="str">
        <f t="shared" si="141"/>
        <v/>
      </c>
      <c r="O210" s="72" t="str">
        <f t="shared" si="154"/>
        <v/>
      </c>
      <c r="P210" s="49"/>
      <c r="Q210" s="49"/>
      <c r="R210" s="49"/>
      <c r="S210" s="49"/>
      <c r="T210" s="49" t="str">
        <f>CONCATENATE("&lt;!-- ",R205," fin --&gt;")</f>
        <v>&lt;!--  fin --&gt;</v>
      </c>
      <c r="U210" s="73"/>
      <c r="V210" t="str">
        <f t="shared" si="140"/>
        <v/>
      </c>
      <c r="W210" s="72" t="str">
        <f t="shared" si="155"/>
        <v/>
      </c>
      <c r="X210" s="49"/>
      <c r="Y210" s="49"/>
      <c r="Z210" s="49"/>
      <c r="AA210" s="49"/>
      <c r="AB210" s="49" t="str">
        <f>CONCATENATE("&lt;!-- ",Z205," fin --&gt;")</f>
        <v>&lt;!--  fin --&gt;</v>
      </c>
      <c r="AC210" s="73"/>
    </row>
    <row r="211" ht="14.55" spans="1:29">
      <c r="A211" s="74" t="str">
        <f t="shared" si="152"/>
        <v/>
      </c>
      <c r="B211" s="52"/>
      <c r="C211" s="49" t="str">
        <f>""</f>
        <v/>
      </c>
      <c r="D211" s="49"/>
      <c r="E211" s="49"/>
      <c r="F211" t="str">
        <f t="shared" si="151"/>
        <v/>
      </c>
      <c r="G211" s="61" t="str">
        <f t="shared" si="153"/>
        <v/>
      </c>
      <c r="H211" s="75"/>
      <c r="I211" s="75"/>
      <c r="J211" s="52"/>
      <c r="K211" s="55"/>
      <c r="L211" s="49" t="str">
        <f>""</f>
        <v/>
      </c>
      <c r="N211" t="str">
        <f t="shared" si="141"/>
        <v/>
      </c>
      <c r="O211" s="54" t="str">
        <f t="shared" si="154"/>
        <v/>
      </c>
      <c r="P211" s="55"/>
      <c r="Q211" s="55"/>
      <c r="R211" s="52"/>
      <c r="S211" s="55"/>
      <c r="T211" s="49" t="str">
        <f>""</f>
        <v/>
      </c>
      <c r="V211" t="str">
        <f t="shared" si="140"/>
        <v/>
      </c>
      <c r="W211" s="54" t="str">
        <f t="shared" si="155"/>
        <v/>
      </c>
      <c r="X211" s="55"/>
      <c r="Y211" s="55"/>
      <c r="Z211" s="52"/>
      <c r="AA211" s="55"/>
      <c r="AB211" s="49" t="str">
        <f>""</f>
        <v/>
      </c>
    </row>
    <row r="212" spans="1:29">
      <c r="A212" s="50" t="str">
        <f>CONCATENATE("Título ",A214)</f>
        <v>Título 31</v>
      </c>
      <c r="B212" s="57"/>
      <c r="C212" s="51" t="str">
        <f>CONCATENATE("&lt;!-- ",CONCATENATE(B212," ",B213)," --&gt;")</f>
        <v>&lt;!--   --&gt;</v>
      </c>
      <c r="D212" s="52"/>
      <c r="E212" s="53" t="str">
        <f>""</f>
        <v/>
      </c>
      <c r="F212" t="str">
        <f t="shared" ref="F192:F255" si="156">""</f>
        <v/>
      </c>
      <c r="G212" s="54" t="str">
        <f>CONCATENATE("Título ",G214)</f>
        <v>Título 31</v>
      </c>
      <c r="H212" s="55"/>
      <c r="I212" s="55"/>
      <c r="J212" s="57"/>
      <c r="K212" s="55" t="s">
        <v>2</v>
      </c>
      <c r="L212" s="51" t="str">
        <f>CONCATENATE("&lt;!-- ",CONCATENATE(J212," ",J213)," --&gt;")</f>
        <v>&lt;!--   --&gt;</v>
      </c>
      <c r="M212" s="56"/>
      <c r="N212" t="str">
        <f t="shared" si="141"/>
        <v/>
      </c>
      <c r="O212" s="54" t="str">
        <f>G212</f>
        <v>Título 31</v>
      </c>
      <c r="P212" s="55"/>
      <c r="Q212" s="55"/>
      <c r="R212" s="57"/>
      <c r="S212" s="55"/>
      <c r="T212" s="55" t="str">
        <f>CONCATENATE("&lt;!-- ",R212," --&gt;")</f>
        <v>&lt;!--  --&gt;</v>
      </c>
      <c r="U212" s="56"/>
      <c r="V212" t="str">
        <f t="shared" si="140"/>
        <v/>
      </c>
      <c r="W212" s="54" t="str">
        <f>O212</f>
        <v>Título 31</v>
      </c>
      <c r="X212" s="55"/>
      <c r="Y212" s="55"/>
      <c r="Z212" s="57"/>
      <c r="AA212" s="55"/>
      <c r="AB212" s="55" t="str">
        <f>CONCATENATE("&lt;!-- ",Z212," --&gt;")</f>
        <v>&lt;!--  --&gt;</v>
      </c>
      <c r="AC212" s="56"/>
    </row>
    <row r="213" ht="14.4" spans="1:29">
      <c r="A213" s="58" t="s">
        <v>186</v>
      </c>
      <c r="C213" t="str">
        <f>IF(B214&lt;&gt;"",CONCATENATE("&lt;div id=",Comilla,B215,Comilla,"&gt;"),"")</f>
        <v/>
      </c>
      <c r="D213" s="59"/>
      <c r="E213" s="60" t="str">
        <f>CONCATENATE(" &lt;a href=",Comilla,"#",B215,Comilla," class=",Comilla,"submenu-item",Comilla,"&gt;",B212,"&lt;/a&gt;")</f>
        <v> &lt;a href="#" class="submenu-item"&gt;&lt;/a&gt;</v>
      </c>
      <c r="F213" t="str">
        <f t="shared" si="156"/>
        <v/>
      </c>
      <c r="G213" s="61" t="s">
        <v>186</v>
      </c>
      <c r="H213" s="62" t="s">
        <v>187</v>
      </c>
      <c r="I213" s="63" t="s">
        <v>188</v>
      </c>
      <c r="J213" s="64"/>
      <c r="L213" t="str">
        <f>IF(J212&lt;&gt;"","&lt;div&gt;","")</f>
        <v/>
      </c>
      <c r="M213" s="65"/>
      <c r="N213" t="str">
        <f t="shared" si="141"/>
        <v/>
      </c>
      <c r="O213" s="61" t="s">
        <v>186</v>
      </c>
      <c r="P213" s="62" t="s">
        <v>187</v>
      </c>
      <c r="Q213" s="63" t="s">
        <v>188</v>
      </c>
      <c r="T213" t="str">
        <f>CONCATENATE(P213,R213,Q213)</f>
        <v>&lt;div &gt;</v>
      </c>
      <c r="U213" s="65"/>
      <c r="V213" t="str">
        <f t="shared" si="140"/>
        <v/>
      </c>
      <c r="W213" s="61" t="s">
        <v>186</v>
      </c>
      <c r="X213" s="62" t="s">
        <v>187</v>
      </c>
      <c r="Y213" s="63" t="s">
        <v>188</v>
      </c>
      <c r="AB213" t="str">
        <f>CONCATENATE(X213,Z213,Y213)</f>
        <v>&lt;div &gt;</v>
      </c>
      <c r="AC213" s="65"/>
    </row>
    <row r="214" spans="1:29">
      <c r="A214" s="66">
        <f>A207+1</f>
        <v>31</v>
      </c>
      <c r="B214" s="67" t="str">
        <f>IF(B212="","",SUBSTITUTE(SUBSTITUTE(SUBSTITUTE(SUBSTITUTE(SUBSTITUTE(SUBSTITUTE(SUBSTITUTE(SUBSTITUTE(LOWER(CONCATENATE(B212," ",B213))," ","-"),"&lt;",""),"&gt;",""),"ó","o"),"?",""),"¿",""),"é","e"),"á","a"))</f>
        <v/>
      </c>
      <c r="C214" s="68" t="str">
        <f>CONCATENATE("&lt;h3&gt;",SUBSTITUTE(CONCATENATE(B212," ",B213),"&lt;","&amp;lt;"),"&lt;/h3&gt;")</f>
        <v>&lt;h3&gt; &lt;/h3&gt;</v>
      </c>
      <c r="D214" s="59"/>
      <c r="E214" s="60"/>
      <c r="F214" t="str">
        <f t="shared" si="156"/>
        <v/>
      </c>
      <c r="G214" s="61">
        <f>G207+1</f>
        <v>31</v>
      </c>
      <c r="J214" s="59"/>
      <c r="K214" s="59"/>
      <c r="L214" s="68" t="str">
        <f>CONCATENATE("&lt;h4&gt;",SUBSTITUTE(CONCATENATE(J212," ",J213),"&lt;","&amp;lt;"),"&lt;/h4&gt;")</f>
        <v>&lt;h4&gt; &lt;/h4&gt;</v>
      </c>
      <c r="M214" s="65"/>
      <c r="N214" t="str">
        <f t="shared" si="141"/>
        <v/>
      </c>
      <c r="O214" s="61">
        <f>O207+1</f>
        <v>31</v>
      </c>
      <c r="T214" t="str">
        <f>CONCATENATE("&lt;h5&gt;",R212,"&lt;/h5&gt;")</f>
        <v>&lt;h5&gt;&lt;/h5&gt;</v>
      </c>
      <c r="U214" s="65"/>
      <c r="V214" t="str">
        <f t="shared" si="140"/>
        <v/>
      </c>
      <c r="W214" s="61">
        <f>W207+1</f>
        <v>31</v>
      </c>
      <c r="AB214" t="str">
        <f>CONCATENATE("&lt;",$Y$1,"&gt;",Z212,"&lt;/",$Y$1,"&gt;")</f>
        <v>&lt;h6&gt;&lt;/h6&gt;</v>
      </c>
      <c r="AC214" s="65"/>
    </row>
    <row r="215" spans="1:29">
      <c r="A215" s="58" t="str">
        <f t="shared" ref="A215:A218" si="157">""</f>
        <v/>
      </c>
      <c r="B215" s="67" t="str">
        <f>IF(B214&lt;&gt;"",IF(B213="",LEFT(B214,LEN(B214)-1),B214),"")</f>
        <v/>
      </c>
      <c r="D215" s="59"/>
      <c r="E215" s="60"/>
      <c r="F215" t="str">
        <f t="shared" si="156"/>
        <v/>
      </c>
      <c r="G215" s="61" t="s">
        <v>189</v>
      </c>
      <c r="J215" s="64"/>
      <c r="K215" t="s">
        <v>2</v>
      </c>
      <c r="L215" t="str">
        <f>IF(J215&lt;&gt;"",CONCATENATE("&lt;p&gt;",J215,"&lt;/p&gt;"),"")</f>
        <v/>
      </c>
      <c r="M215" s="65"/>
      <c r="N215" t="str">
        <f t="shared" si="141"/>
        <v/>
      </c>
      <c r="O215" s="61" t="s">
        <v>189</v>
      </c>
      <c r="R215" s="64"/>
      <c r="S215" t="s">
        <v>2</v>
      </c>
      <c r="T215" t="str">
        <f>IF(R215&lt;&gt;"",R215,"")</f>
        <v/>
      </c>
      <c r="U215" s="65"/>
      <c r="V215" t="str">
        <f t="shared" si="140"/>
        <v/>
      </c>
      <c r="W215" s="61" t="s">
        <v>189</v>
      </c>
      <c r="Z215" s="64"/>
      <c r="AA215" t="s">
        <v>2</v>
      </c>
      <c r="AB215" t="str">
        <f>IF(Z215&lt;&gt;"",Z215,"")</f>
        <v/>
      </c>
      <c r="AC215" s="65"/>
    </row>
    <row r="216" spans="1:29">
      <c r="A216" s="58" t="s">
        <v>189</v>
      </c>
      <c r="B216" s="64"/>
      <c r="C216" t="s">
        <v>117</v>
      </c>
      <c r="D216" s="59"/>
      <c r="E216" s="60"/>
      <c r="F216" t="str">
        <f t="shared" si="156"/>
        <v/>
      </c>
      <c r="G216" s="61" t="str">
        <f t="shared" ref="G216:G218" si="158">""</f>
        <v/>
      </c>
      <c r="L216" t="s">
        <v>117</v>
      </c>
      <c r="M216" s="65"/>
      <c r="N216" t="str">
        <f t="shared" si="141"/>
        <v/>
      </c>
      <c r="O216" s="61" t="str">
        <f t="shared" ref="O216:O218" si="159">""</f>
        <v/>
      </c>
      <c r="T216" t="s">
        <v>117</v>
      </c>
      <c r="U216" s="65"/>
      <c r="V216" t="str">
        <f t="shared" si="140"/>
        <v/>
      </c>
      <c r="W216" s="61" t="str">
        <f t="shared" ref="W216:W218" si="160">""</f>
        <v/>
      </c>
      <c r="AB216" t="s">
        <v>117</v>
      </c>
      <c r="AC216" s="65"/>
    </row>
    <row r="217" ht="14.55" spans="1:29">
      <c r="A217" s="69" t="str">
        <f t="shared" si="157"/>
        <v/>
      </c>
      <c r="C217" s="49" t="str">
        <f>CONCATENATE("&lt;!-- ",CONCATENATE(B212," ",B213," fin")," --&gt;")</f>
        <v>&lt;!--   fin --&gt;</v>
      </c>
      <c r="D217" s="70"/>
      <c r="E217" s="71"/>
      <c r="F217" t="str">
        <f t="shared" si="156"/>
        <v/>
      </c>
      <c r="G217" s="72" t="str">
        <f t="shared" si="158"/>
        <v/>
      </c>
      <c r="H217" s="49"/>
      <c r="I217" s="49"/>
      <c r="J217" s="49"/>
      <c r="K217" s="49"/>
      <c r="L217" s="49" t="str">
        <f>CONCATENATE("&lt;!-- ",CONCATENATE(J212," ",J213," fin")," --&gt;")</f>
        <v>&lt;!--   fin --&gt;</v>
      </c>
      <c r="M217" s="73"/>
      <c r="N217" t="str">
        <f t="shared" si="141"/>
        <v/>
      </c>
      <c r="O217" s="72" t="str">
        <f t="shared" si="159"/>
        <v/>
      </c>
      <c r="P217" s="49"/>
      <c r="Q217" s="49"/>
      <c r="R217" s="49"/>
      <c r="S217" s="49"/>
      <c r="T217" s="49" t="str">
        <f>CONCATENATE("&lt;!-- ",R212," fin --&gt;")</f>
        <v>&lt;!--  fin --&gt;</v>
      </c>
      <c r="U217" s="73"/>
      <c r="V217" t="str">
        <f t="shared" si="140"/>
        <v/>
      </c>
      <c r="W217" s="72" t="str">
        <f t="shared" si="160"/>
        <v/>
      </c>
      <c r="X217" s="49"/>
      <c r="Y217" s="49"/>
      <c r="Z217" s="49"/>
      <c r="AA217" s="49"/>
      <c r="AB217" s="49" t="str">
        <f>CONCATENATE("&lt;!-- ",Z212," fin --&gt;")</f>
        <v>&lt;!--  fin --&gt;</v>
      </c>
      <c r="AC217" s="73"/>
    </row>
    <row r="218" ht="14.55" spans="1:29">
      <c r="A218" s="74" t="str">
        <f t="shared" si="157"/>
        <v/>
      </c>
      <c r="B218" s="52"/>
      <c r="C218" s="49" t="str">
        <f>""</f>
        <v/>
      </c>
      <c r="D218" s="49"/>
      <c r="E218" s="49"/>
      <c r="F218" t="str">
        <f t="shared" si="156"/>
        <v/>
      </c>
      <c r="G218" s="61" t="str">
        <f t="shared" si="158"/>
        <v/>
      </c>
      <c r="H218" s="75"/>
      <c r="I218" s="75"/>
      <c r="J218" s="52"/>
      <c r="K218" s="55"/>
      <c r="L218" s="49" t="str">
        <f>""</f>
        <v/>
      </c>
      <c r="N218" t="str">
        <f t="shared" si="141"/>
        <v/>
      </c>
      <c r="O218" s="54" t="str">
        <f t="shared" si="159"/>
        <v/>
      </c>
      <c r="P218" s="55"/>
      <c r="Q218" s="55"/>
      <c r="R218" s="52"/>
      <c r="S218" s="55"/>
      <c r="T218" s="49" t="str">
        <f>""</f>
        <v/>
      </c>
      <c r="V218" t="str">
        <f t="shared" si="140"/>
        <v/>
      </c>
      <c r="W218" s="54" t="str">
        <f t="shared" si="160"/>
        <v/>
      </c>
      <c r="X218" s="55"/>
      <c r="Y218" s="55"/>
      <c r="Z218" s="52"/>
      <c r="AA218" s="55"/>
      <c r="AB218" s="49" t="str">
        <f>""</f>
        <v/>
      </c>
    </row>
    <row r="219" spans="1:29">
      <c r="A219" s="50" t="str">
        <f>CONCATENATE("Título ",A221)</f>
        <v>Título 32</v>
      </c>
      <c r="B219" s="57"/>
      <c r="C219" s="51" t="str">
        <f>CONCATENATE("&lt;!-- ",CONCATENATE(B219," ",B220)," --&gt;")</f>
        <v>&lt;!--   --&gt;</v>
      </c>
      <c r="D219" s="52"/>
      <c r="E219" s="53" t="str">
        <f>""</f>
        <v/>
      </c>
      <c r="F219" t="str">
        <f t="shared" si="156"/>
        <v/>
      </c>
      <c r="G219" s="54" t="str">
        <f>CONCATENATE("Título ",G221)</f>
        <v>Título 32</v>
      </c>
      <c r="H219" s="55"/>
      <c r="I219" s="55"/>
      <c r="J219" s="57"/>
      <c r="K219" s="55" t="s">
        <v>2</v>
      </c>
      <c r="L219" s="51" t="str">
        <f>CONCATENATE("&lt;!-- ",CONCATENATE(J219," ",J220)," --&gt;")</f>
        <v>&lt;!--   --&gt;</v>
      </c>
      <c r="M219" s="56"/>
      <c r="N219" t="str">
        <f t="shared" si="141"/>
        <v/>
      </c>
      <c r="O219" s="54" t="str">
        <f>G219</f>
        <v>Título 32</v>
      </c>
      <c r="P219" s="55"/>
      <c r="Q219" s="55"/>
      <c r="R219" s="57"/>
      <c r="S219" s="55"/>
      <c r="T219" s="55" t="str">
        <f>CONCATENATE("&lt;!-- ",R219," --&gt;")</f>
        <v>&lt;!--  --&gt;</v>
      </c>
      <c r="U219" s="56"/>
      <c r="V219" t="str">
        <f t="shared" si="140"/>
        <v/>
      </c>
      <c r="W219" s="54" t="str">
        <f>O219</f>
        <v>Título 32</v>
      </c>
      <c r="X219" s="55"/>
      <c r="Y219" s="55"/>
      <c r="Z219" s="57"/>
      <c r="AA219" s="55"/>
      <c r="AB219" s="55" t="str">
        <f>CONCATENATE("&lt;!-- ",Z219," --&gt;")</f>
        <v>&lt;!--  --&gt;</v>
      </c>
      <c r="AC219" s="56"/>
    </row>
    <row r="220" ht="14.4" spans="1:29">
      <c r="A220" s="58" t="s">
        <v>186</v>
      </c>
      <c r="C220" t="str">
        <f>IF(B221&lt;&gt;"",CONCATENATE("&lt;div id=",Comilla,B222,Comilla,"&gt;"),"")</f>
        <v/>
      </c>
      <c r="D220" s="59"/>
      <c r="E220" s="60" t="str">
        <f>CONCATENATE(" &lt;a href=",Comilla,"#",B222,Comilla," class=",Comilla,"submenu-item",Comilla,"&gt;",B219,"&lt;/a&gt;")</f>
        <v> &lt;a href="#" class="submenu-item"&gt;&lt;/a&gt;</v>
      </c>
      <c r="F220" t="str">
        <f t="shared" si="156"/>
        <v/>
      </c>
      <c r="G220" s="61" t="s">
        <v>186</v>
      </c>
      <c r="H220" s="62" t="s">
        <v>187</v>
      </c>
      <c r="I220" s="63" t="s">
        <v>188</v>
      </c>
      <c r="J220" s="64"/>
      <c r="L220" t="str">
        <f>IF(J219&lt;&gt;"","&lt;div&gt;","")</f>
        <v/>
      </c>
      <c r="M220" s="65"/>
      <c r="N220" t="str">
        <f t="shared" si="141"/>
        <v/>
      </c>
      <c r="O220" s="61" t="s">
        <v>186</v>
      </c>
      <c r="P220" s="62" t="s">
        <v>187</v>
      </c>
      <c r="Q220" s="63" t="s">
        <v>188</v>
      </c>
      <c r="T220" t="str">
        <f>CONCATENATE(P220,R220,Q220)</f>
        <v>&lt;div &gt;</v>
      </c>
      <c r="U220" s="65"/>
      <c r="V220" t="str">
        <f t="shared" si="140"/>
        <v/>
      </c>
      <c r="W220" s="61" t="s">
        <v>186</v>
      </c>
      <c r="X220" s="62" t="s">
        <v>187</v>
      </c>
      <c r="Y220" s="63" t="s">
        <v>188</v>
      </c>
      <c r="AB220" t="str">
        <f>CONCATENATE(X220,Z220,Y220)</f>
        <v>&lt;div &gt;</v>
      </c>
      <c r="AC220" s="65"/>
    </row>
    <row r="221" spans="1:29">
      <c r="A221" s="66">
        <f>A214+1</f>
        <v>32</v>
      </c>
      <c r="B221" s="67" t="str">
        <f>IF(B219="","",SUBSTITUTE(SUBSTITUTE(SUBSTITUTE(SUBSTITUTE(SUBSTITUTE(SUBSTITUTE(SUBSTITUTE(SUBSTITUTE(LOWER(CONCATENATE(B219," ",B220))," ","-"),"&lt;",""),"&gt;",""),"ó","o"),"?",""),"¿",""),"é","e"),"á","a"))</f>
        <v/>
      </c>
      <c r="C221" s="68" t="str">
        <f>CONCATENATE("&lt;h3&gt;",SUBSTITUTE(CONCATENATE(B219," ",B220),"&lt;","&amp;lt;"),"&lt;/h3&gt;")</f>
        <v>&lt;h3&gt; &lt;/h3&gt;</v>
      </c>
      <c r="D221" s="59"/>
      <c r="E221" s="60"/>
      <c r="F221" t="str">
        <f t="shared" si="156"/>
        <v/>
      </c>
      <c r="G221" s="61">
        <f>G214+1</f>
        <v>32</v>
      </c>
      <c r="J221" s="59"/>
      <c r="K221" s="59"/>
      <c r="L221" s="68" t="str">
        <f>CONCATENATE("&lt;h4&gt;",SUBSTITUTE(CONCATENATE(J219," ",J220),"&lt;","&amp;lt;"),"&lt;/h4&gt;")</f>
        <v>&lt;h4&gt; &lt;/h4&gt;</v>
      </c>
      <c r="M221" s="65"/>
      <c r="N221" t="str">
        <f t="shared" si="141"/>
        <v/>
      </c>
      <c r="O221" s="61">
        <f>O214+1</f>
        <v>32</v>
      </c>
      <c r="T221" t="str">
        <f>CONCATENATE("&lt;h5&gt;",R219,"&lt;/h5&gt;")</f>
        <v>&lt;h5&gt;&lt;/h5&gt;</v>
      </c>
      <c r="U221" s="65"/>
      <c r="V221" t="str">
        <f t="shared" si="140"/>
        <v/>
      </c>
      <c r="W221" s="61">
        <f>W214+1</f>
        <v>32</v>
      </c>
      <c r="AB221" t="str">
        <f>CONCATENATE("&lt;",$Y$1,"&gt;",Z219,"&lt;/",$Y$1,"&gt;")</f>
        <v>&lt;h6&gt;&lt;/h6&gt;</v>
      </c>
      <c r="AC221" s="65"/>
    </row>
    <row r="222" spans="1:29">
      <c r="A222" s="58" t="str">
        <f t="shared" ref="A222:A225" si="161">""</f>
        <v/>
      </c>
      <c r="B222" s="67" t="str">
        <f>IF(B221&lt;&gt;"",IF(B220="",LEFT(B221,LEN(B221)-1),B221),"")</f>
        <v/>
      </c>
      <c r="D222" s="59"/>
      <c r="E222" s="60"/>
      <c r="F222" t="str">
        <f t="shared" si="156"/>
        <v/>
      </c>
      <c r="G222" s="61" t="s">
        <v>189</v>
      </c>
      <c r="J222" s="64"/>
      <c r="K222" t="s">
        <v>2</v>
      </c>
      <c r="L222" t="str">
        <f>IF(J222&lt;&gt;"",CONCATENATE("&lt;p&gt;",J222,"&lt;/p&gt;"),"")</f>
        <v/>
      </c>
      <c r="M222" s="65"/>
      <c r="N222" t="str">
        <f t="shared" si="141"/>
        <v/>
      </c>
      <c r="O222" s="61" t="s">
        <v>189</v>
      </c>
      <c r="R222" s="64"/>
      <c r="S222" t="s">
        <v>2</v>
      </c>
      <c r="T222" t="str">
        <f>IF(R222&lt;&gt;"",R222,"")</f>
        <v/>
      </c>
      <c r="U222" s="65"/>
      <c r="V222" t="str">
        <f t="shared" si="140"/>
        <v/>
      </c>
      <c r="W222" s="61" t="s">
        <v>189</v>
      </c>
      <c r="Z222" s="64"/>
      <c r="AA222" t="s">
        <v>2</v>
      </c>
      <c r="AB222" t="str">
        <f>IF(Z222&lt;&gt;"",Z222,"")</f>
        <v/>
      </c>
      <c r="AC222" s="65"/>
    </row>
    <row r="223" spans="1:29">
      <c r="A223" s="58" t="s">
        <v>189</v>
      </c>
      <c r="B223" s="64"/>
      <c r="C223" t="s">
        <v>117</v>
      </c>
      <c r="D223" s="59"/>
      <c r="E223" s="60"/>
      <c r="F223" t="str">
        <f t="shared" si="156"/>
        <v/>
      </c>
      <c r="G223" s="61" t="str">
        <f t="shared" ref="G223:G225" si="162">""</f>
        <v/>
      </c>
      <c r="L223" t="s">
        <v>117</v>
      </c>
      <c r="M223" s="65"/>
      <c r="N223" t="str">
        <f t="shared" si="141"/>
        <v/>
      </c>
      <c r="O223" s="61" t="str">
        <f t="shared" ref="O223:O225" si="163">""</f>
        <v/>
      </c>
      <c r="T223" t="s">
        <v>117</v>
      </c>
      <c r="U223" s="65"/>
      <c r="V223" t="str">
        <f t="shared" si="140"/>
        <v/>
      </c>
      <c r="W223" s="61" t="str">
        <f t="shared" ref="W223:W225" si="164">""</f>
        <v/>
      </c>
      <c r="AB223" t="s">
        <v>117</v>
      </c>
      <c r="AC223" s="65"/>
    </row>
    <row r="224" ht="14.55" spans="1:29">
      <c r="A224" s="69" t="str">
        <f t="shared" si="161"/>
        <v/>
      </c>
      <c r="C224" s="49" t="str">
        <f>CONCATENATE("&lt;!-- ",CONCATENATE(B219," ",B220," fin")," --&gt;")</f>
        <v>&lt;!--   fin --&gt;</v>
      </c>
      <c r="D224" s="70"/>
      <c r="E224" s="71"/>
      <c r="F224" t="str">
        <f t="shared" si="156"/>
        <v/>
      </c>
      <c r="G224" s="72" t="str">
        <f t="shared" si="162"/>
        <v/>
      </c>
      <c r="H224" s="49"/>
      <c r="I224" s="49"/>
      <c r="J224" s="49"/>
      <c r="K224" s="49"/>
      <c r="L224" s="49" t="str">
        <f>CONCATENATE("&lt;!-- ",CONCATENATE(J219," ",J220," fin")," --&gt;")</f>
        <v>&lt;!--   fin --&gt;</v>
      </c>
      <c r="M224" s="73"/>
      <c r="N224" t="str">
        <f t="shared" si="141"/>
        <v/>
      </c>
      <c r="O224" s="72" t="str">
        <f t="shared" si="163"/>
        <v/>
      </c>
      <c r="P224" s="49"/>
      <c r="Q224" s="49"/>
      <c r="R224" s="49"/>
      <c r="S224" s="49"/>
      <c r="T224" s="49" t="str">
        <f>CONCATENATE("&lt;!-- ",R219," fin --&gt;")</f>
        <v>&lt;!--  fin --&gt;</v>
      </c>
      <c r="U224" s="73"/>
      <c r="V224" t="str">
        <f t="shared" si="140"/>
        <v/>
      </c>
      <c r="W224" s="72" t="str">
        <f t="shared" si="164"/>
        <v/>
      </c>
      <c r="X224" s="49"/>
      <c r="Y224" s="49"/>
      <c r="Z224" s="49"/>
      <c r="AA224" s="49"/>
      <c r="AB224" s="49" t="str">
        <f>CONCATENATE("&lt;!-- ",Z219," fin --&gt;")</f>
        <v>&lt;!--  fin --&gt;</v>
      </c>
      <c r="AC224" s="73"/>
    </row>
    <row r="225" ht="14.55" spans="1:29">
      <c r="A225" s="74" t="str">
        <f t="shared" si="161"/>
        <v/>
      </c>
      <c r="B225" s="52"/>
      <c r="C225" s="49" t="str">
        <f>""</f>
        <v/>
      </c>
      <c r="D225" s="49"/>
      <c r="E225" s="49"/>
      <c r="F225" t="str">
        <f t="shared" si="156"/>
        <v/>
      </c>
      <c r="G225" s="61" t="str">
        <f t="shared" si="162"/>
        <v/>
      </c>
      <c r="H225" s="75"/>
      <c r="I225" s="75"/>
      <c r="J225" s="52"/>
      <c r="K225" s="55"/>
      <c r="L225" s="49" t="str">
        <f>""</f>
        <v/>
      </c>
      <c r="N225" t="str">
        <f t="shared" si="141"/>
        <v/>
      </c>
      <c r="O225" s="54" t="str">
        <f t="shared" si="163"/>
        <v/>
      </c>
      <c r="P225" s="55"/>
      <c r="Q225" s="55"/>
      <c r="R225" s="52"/>
      <c r="S225" s="55"/>
      <c r="T225" s="49" t="str">
        <f>""</f>
        <v/>
      </c>
      <c r="V225" t="str">
        <f t="shared" si="140"/>
        <v/>
      </c>
      <c r="W225" s="54" t="str">
        <f t="shared" si="164"/>
        <v/>
      </c>
      <c r="X225" s="55"/>
      <c r="Y225" s="55"/>
      <c r="Z225" s="52"/>
      <c r="AA225" s="55"/>
      <c r="AB225" s="49" t="str">
        <f>""</f>
        <v/>
      </c>
    </row>
    <row r="226" spans="1:29">
      <c r="A226" s="50" t="str">
        <f>CONCATENATE("Título ",A228)</f>
        <v>Título 33</v>
      </c>
      <c r="B226" s="57"/>
      <c r="C226" s="51" t="str">
        <f>CONCATENATE("&lt;!-- ",CONCATENATE(B226," ",B227)," --&gt;")</f>
        <v>&lt;!--   --&gt;</v>
      </c>
      <c r="D226" s="52"/>
      <c r="E226" s="53" t="str">
        <f>""</f>
        <v/>
      </c>
      <c r="F226" t="str">
        <f t="shared" si="156"/>
        <v/>
      </c>
      <c r="G226" s="54" t="str">
        <f>CONCATENATE("Título ",G228)</f>
        <v>Título 33</v>
      </c>
      <c r="H226" s="55"/>
      <c r="I226" s="55"/>
      <c r="J226" s="57"/>
      <c r="K226" s="55" t="s">
        <v>2</v>
      </c>
      <c r="L226" s="51" t="str">
        <f>CONCATENATE("&lt;!-- ",CONCATENATE(J226," ",J227)," --&gt;")</f>
        <v>&lt;!--   --&gt;</v>
      </c>
      <c r="M226" s="56"/>
      <c r="N226" t="str">
        <f t="shared" si="141"/>
        <v/>
      </c>
      <c r="O226" s="54" t="str">
        <f>G226</f>
        <v>Título 33</v>
      </c>
      <c r="P226" s="55"/>
      <c r="Q226" s="55"/>
      <c r="R226" s="57"/>
      <c r="S226" s="55"/>
      <c r="T226" s="55" t="str">
        <f>CONCATENATE("&lt;!-- ",R226," --&gt;")</f>
        <v>&lt;!--  --&gt;</v>
      </c>
      <c r="U226" s="56"/>
      <c r="V226" t="str">
        <f t="shared" si="140"/>
        <v/>
      </c>
      <c r="W226" s="54" t="str">
        <f>O226</f>
        <v>Título 33</v>
      </c>
      <c r="X226" s="55"/>
      <c r="Y226" s="55"/>
      <c r="Z226" s="57"/>
      <c r="AA226" s="55"/>
      <c r="AB226" s="55" t="str">
        <f>CONCATENATE("&lt;!-- ",Z226," --&gt;")</f>
        <v>&lt;!--  --&gt;</v>
      </c>
      <c r="AC226" s="56"/>
    </row>
    <row r="227" ht="14.4" spans="1:29">
      <c r="A227" s="58" t="s">
        <v>186</v>
      </c>
      <c r="C227" t="str">
        <f>IF(B228&lt;&gt;"",CONCATENATE("&lt;div id=",Comilla,B229,Comilla,"&gt;"),"")</f>
        <v/>
      </c>
      <c r="D227" s="59"/>
      <c r="E227" s="60" t="str">
        <f>CONCATENATE(" &lt;a href=",Comilla,"#",B229,Comilla," class=",Comilla,"submenu-item",Comilla,"&gt;",B226,"&lt;/a&gt;")</f>
        <v> &lt;a href="#" class="submenu-item"&gt;&lt;/a&gt;</v>
      </c>
      <c r="F227" t="str">
        <f t="shared" si="156"/>
        <v/>
      </c>
      <c r="G227" s="61" t="s">
        <v>186</v>
      </c>
      <c r="H227" s="62" t="s">
        <v>187</v>
      </c>
      <c r="I227" s="63" t="s">
        <v>188</v>
      </c>
      <c r="J227" s="64"/>
      <c r="L227" t="str">
        <f>IF(J226&lt;&gt;"","&lt;div&gt;","")</f>
        <v/>
      </c>
      <c r="M227" s="65"/>
      <c r="N227" t="str">
        <f t="shared" si="141"/>
        <v/>
      </c>
      <c r="O227" s="61" t="s">
        <v>186</v>
      </c>
      <c r="P227" s="62" t="s">
        <v>187</v>
      </c>
      <c r="Q227" s="63" t="s">
        <v>188</v>
      </c>
      <c r="T227" t="str">
        <f>CONCATENATE(P227,R227,Q227)</f>
        <v>&lt;div &gt;</v>
      </c>
      <c r="U227" s="65"/>
      <c r="V227" t="str">
        <f t="shared" si="140"/>
        <v/>
      </c>
      <c r="W227" s="61" t="s">
        <v>186</v>
      </c>
      <c r="X227" s="62" t="s">
        <v>187</v>
      </c>
      <c r="Y227" s="63" t="s">
        <v>188</v>
      </c>
      <c r="AB227" t="str">
        <f>CONCATENATE(X227,Z227,Y227)</f>
        <v>&lt;div &gt;</v>
      </c>
      <c r="AC227" s="65"/>
    </row>
    <row r="228" spans="1:29">
      <c r="A228" s="66">
        <f>A221+1</f>
        <v>33</v>
      </c>
      <c r="B228" s="67" t="str">
        <f>IF(B226="","",SUBSTITUTE(SUBSTITUTE(SUBSTITUTE(SUBSTITUTE(SUBSTITUTE(SUBSTITUTE(SUBSTITUTE(SUBSTITUTE(LOWER(CONCATENATE(B226," ",B227))," ","-"),"&lt;",""),"&gt;",""),"ó","o"),"?",""),"¿",""),"é","e"),"á","a"))</f>
        <v/>
      </c>
      <c r="C228" s="68" t="str">
        <f>CONCATENATE("&lt;h3&gt;",SUBSTITUTE(CONCATENATE(B226," ",B227),"&lt;","&amp;lt;"),"&lt;/h3&gt;")</f>
        <v>&lt;h3&gt; &lt;/h3&gt;</v>
      </c>
      <c r="D228" s="59"/>
      <c r="E228" s="60"/>
      <c r="F228" t="str">
        <f t="shared" si="156"/>
        <v/>
      </c>
      <c r="G228" s="61">
        <f>G221+1</f>
        <v>33</v>
      </c>
      <c r="J228" s="59"/>
      <c r="K228" s="59"/>
      <c r="L228" s="68" t="str">
        <f>CONCATENATE("&lt;h4&gt;",SUBSTITUTE(CONCATENATE(J226," ",J227),"&lt;","&amp;lt;"),"&lt;/h4&gt;")</f>
        <v>&lt;h4&gt; &lt;/h4&gt;</v>
      </c>
      <c r="M228" s="65"/>
      <c r="N228" t="str">
        <f t="shared" si="141"/>
        <v/>
      </c>
      <c r="O228" s="61">
        <f>O221+1</f>
        <v>33</v>
      </c>
      <c r="T228" t="str">
        <f>CONCATENATE("&lt;h5&gt;",R226,"&lt;/h5&gt;")</f>
        <v>&lt;h5&gt;&lt;/h5&gt;</v>
      </c>
      <c r="U228" s="65"/>
      <c r="V228" t="str">
        <f t="shared" si="140"/>
        <v/>
      </c>
      <c r="W228" s="61">
        <f>W221+1</f>
        <v>33</v>
      </c>
      <c r="AB228" t="str">
        <f>CONCATENATE("&lt;",$Y$1,"&gt;",Z226,"&lt;/",$Y$1,"&gt;")</f>
        <v>&lt;h6&gt;&lt;/h6&gt;</v>
      </c>
      <c r="AC228" s="65"/>
    </row>
    <row r="229" spans="1:29">
      <c r="A229" s="58" t="str">
        <f t="shared" ref="A229:A232" si="165">""</f>
        <v/>
      </c>
      <c r="B229" s="67" t="str">
        <f>IF(B228&lt;&gt;"",IF(B227="",LEFT(B228,LEN(B228)-1),B228),"")</f>
        <v/>
      </c>
      <c r="D229" s="59"/>
      <c r="E229" s="60"/>
      <c r="F229" t="str">
        <f t="shared" si="156"/>
        <v/>
      </c>
      <c r="G229" s="61" t="s">
        <v>189</v>
      </c>
      <c r="J229" s="64"/>
      <c r="K229" t="s">
        <v>2</v>
      </c>
      <c r="L229" t="str">
        <f>IF(J229&lt;&gt;"",CONCATENATE("&lt;p&gt;",J229,"&lt;/p&gt;"),"")</f>
        <v/>
      </c>
      <c r="M229" s="65"/>
      <c r="N229" t="str">
        <f t="shared" si="141"/>
        <v/>
      </c>
      <c r="O229" s="61" t="s">
        <v>189</v>
      </c>
      <c r="R229" s="64"/>
      <c r="S229" t="s">
        <v>2</v>
      </c>
      <c r="T229" t="str">
        <f>IF(R229&lt;&gt;"",R229,"")</f>
        <v/>
      </c>
      <c r="U229" s="65"/>
      <c r="V229" t="str">
        <f t="shared" si="140"/>
        <v/>
      </c>
      <c r="W229" s="61" t="s">
        <v>189</v>
      </c>
      <c r="Z229" s="64"/>
      <c r="AA229" t="s">
        <v>2</v>
      </c>
      <c r="AB229" t="str">
        <f>IF(Z229&lt;&gt;"",Z229,"")</f>
        <v/>
      </c>
      <c r="AC229" s="65"/>
    </row>
    <row r="230" spans="1:29">
      <c r="A230" s="58" t="s">
        <v>189</v>
      </c>
      <c r="B230" s="64"/>
      <c r="C230" t="s">
        <v>117</v>
      </c>
      <c r="D230" s="59"/>
      <c r="E230" s="60"/>
      <c r="F230" t="str">
        <f t="shared" si="156"/>
        <v/>
      </c>
      <c r="G230" s="61" t="str">
        <f t="shared" ref="G230:G232" si="166">""</f>
        <v/>
      </c>
      <c r="L230" t="s">
        <v>117</v>
      </c>
      <c r="M230" s="65"/>
      <c r="N230" t="str">
        <f t="shared" si="141"/>
        <v/>
      </c>
      <c r="O230" s="61" t="str">
        <f t="shared" ref="O230:O232" si="167">""</f>
        <v/>
      </c>
      <c r="T230" t="s">
        <v>117</v>
      </c>
      <c r="U230" s="65"/>
      <c r="V230" t="str">
        <f t="shared" si="140"/>
        <v/>
      </c>
      <c r="W230" s="61" t="str">
        <f t="shared" ref="W230:W232" si="168">""</f>
        <v/>
      </c>
      <c r="AB230" t="s">
        <v>117</v>
      </c>
      <c r="AC230" s="65"/>
    </row>
    <row r="231" ht="14.55" spans="1:29">
      <c r="A231" s="69" t="str">
        <f t="shared" si="165"/>
        <v/>
      </c>
      <c r="C231" s="49" t="str">
        <f>CONCATENATE("&lt;!-- ",CONCATENATE(B226," ",B227," fin")," --&gt;")</f>
        <v>&lt;!--   fin --&gt;</v>
      </c>
      <c r="D231" s="70"/>
      <c r="E231" s="71"/>
      <c r="F231" t="str">
        <f t="shared" si="156"/>
        <v/>
      </c>
      <c r="G231" s="72" t="str">
        <f t="shared" si="166"/>
        <v/>
      </c>
      <c r="H231" s="49"/>
      <c r="I231" s="49"/>
      <c r="J231" s="49"/>
      <c r="K231" s="49"/>
      <c r="L231" s="49" t="str">
        <f>CONCATENATE("&lt;!-- ",CONCATENATE(J226," ",J227," fin")," --&gt;")</f>
        <v>&lt;!--   fin --&gt;</v>
      </c>
      <c r="M231" s="73"/>
      <c r="N231" t="str">
        <f t="shared" si="141"/>
        <v/>
      </c>
      <c r="O231" s="72" t="str">
        <f t="shared" si="167"/>
        <v/>
      </c>
      <c r="P231" s="49"/>
      <c r="Q231" s="49"/>
      <c r="R231" s="49"/>
      <c r="S231" s="49"/>
      <c r="T231" s="49" t="str">
        <f>CONCATENATE("&lt;!-- ",R226," fin --&gt;")</f>
        <v>&lt;!--  fin --&gt;</v>
      </c>
      <c r="U231" s="73"/>
      <c r="V231" t="str">
        <f t="shared" si="140"/>
        <v/>
      </c>
      <c r="W231" s="72" t="str">
        <f t="shared" si="168"/>
        <v/>
      </c>
      <c r="X231" s="49"/>
      <c r="Y231" s="49"/>
      <c r="Z231" s="49"/>
      <c r="AA231" s="49"/>
      <c r="AB231" s="49" t="str">
        <f>CONCATENATE("&lt;!-- ",Z226," fin --&gt;")</f>
        <v>&lt;!--  fin --&gt;</v>
      </c>
      <c r="AC231" s="73"/>
    </row>
    <row r="232" ht="14.55" spans="1:29">
      <c r="A232" s="74" t="str">
        <f t="shared" si="165"/>
        <v/>
      </c>
      <c r="B232" s="52"/>
      <c r="C232" s="49" t="str">
        <f>""</f>
        <v/>
      </c>
      <c r="D232" s="49"/>
      <c r="E232" s="49"/>
      <c r="F232" t="str">
        <f t="shared" si="156"/>
        <v/>
      </c>
      <c r="G232" s="61" t="str">
        <f t="shared" si="166"/>
        <v/>
      </c>
      <c r="H232" s="75"/>
      <c r="I232" s="75"/>
      <c r="J232" s="52"/>
      <c r="K232" s="55"/>
      <c r="L232" s="49" t="str">
        <f>""</f>
        <v/>
      </c>
      <c r="N232" t="str">
        <f t="shared" si="141"/>
        <v/>
      </c>
      <c r="O232" s="54" t="str">
        <f t="shared" si="167"/>
        <v/>
      </c>
      <c r="P232" s="55"/>
      <c r="Q232" s="55"/>
      <c r="R232" s="52"/>
      <c r="S232" s="55"/>
      <c r="T232" s="49" t="str">
        <f>""</f>
        <v/>
      </c>
      <c r="V232" t="str">
        <f t="shared" si="140"/>
        <v/>
      </c>
      <c r="W232" s="54" t="str">
        <f t="shared" si="168"/>
        <v/>
      </c>
      <c r="X232" s="55"/>
      <c r="Y232" s="55"/>
      <c r="Z232" s="52"/>
      <c r="AA232" s="55"/>
      <c r="AB232" s="49" t="str">
        <f>""</f>
        <v/>
      </c>
    </row>
    <row r="233" spans="1:29">
      <c r="A233" s="50" t="str">
        <f>CONCATENATE("Título ",A235)</f>
        <v>Título 34</v>
      </c>
      <c r="B233" s="57"/>
      <c r="C233" s="51" t="str">
        <f>CONCATENATE("&lt;!-- ",CONCATENATE(B233," ",B234)," --&gt;")</f>
        <v>&lt;!--   --&gt;</v>
      </c>
      <c r="D233" s="52"/>
      <c r="E233" s="53" t="str">
        <f>""</f>
        <v/>
      </c>
      <c r="F233" t="str">
        <f t="shared" si="156"/>
        <v/>
      </c>
      <c r="G233" s="54" t="str">
        <f>CONCATENATE("Título ",G235)</f>
        <v>Título 34</v>
      </c>
      <c r="H233" s="55"/>
      <c r="I233" s="55"/>
      <c r="J233" s="57"/>
      <c r="K233" s="55" t="s">
        <v>2</v>
      </c>
      <c r="L233" s="51" t="str">
        <f>CONCATENATE("&lt;!-- ",CONCATENATE(J233," ",J234)," --&gt;")</f>
        <v>&lt;!--   --&gt;</v>
      </c>
      <c r="M233" s="56"/>
      <c r="N233" t="str">
        <f t="shared" si="141"/>
        <v/>
      </c>
      <c r="O233" s="54" t="str">
        <f>G233</f>
        <v>Título 34</v>
      </c>
      <c r="P233" s="55"/>
      <c r="Q233" s="55"/>
      <c r="R233" s="57"/>
      <c r="S233" s="55"/>
      <c r="T233" s="55" t="str">
        <f>CONCATENATE("&lt;!-- ",R233," --&gt;")</f>
        <v>&lt;!--  --&gt;</v>
      </c>
      <c r="U233" s="56"/>
      <c r="V233" t="str">
        <f t="shared" si="140"/>
        <v/>
      </c>
      <c r="W233" s="54" t="str">
        <f>O233</f>
        <v>Título 34</v>
      </c>
      <c r="X233" s="55"/>
      <c r="Y233" s="55"/>
      <c r="Z233" s="57"/>
      <c r="AA233" s="55"/>
      <c r="AB233" s="55" t="str">
        <f>CONCATENATE("&lt;!-- ",Z233," --&gt;")</f>
        <v>&lt;!--  --&gt;</v>
      </c>
      <c r="AC233" s="56"/>
    </row>
    <row r="234" ht="14.4" spans="1:29">
      <c r="A234" s="58" t="s">
        <v>186</v>
      </c>
      <c r="C234" t="str">
        <f>IF(B235&lt;&gt;"",CONCATENATE("&lt;div id=",Comilla,B236,Comilla,"&gt;"),"")</f>
        <v/>
      </c>
      <c r="D234" s="59"/>
      <c r="E234" s="60" t="str">
        <f>CONCATENATE(" &lt;a href=",Comilla,"#",B236,Comilla," class=",Comilla,"submenu-item",Comilla,"&gt;",B233,"&lt;/a&gt;")</f>
        <v> &lt;a href="#" class="submenu-item"&gt;&lt;/a&gt;</v>
      </c>
      <c r="F234" t="str">
        <f t="shared" si="156"/>
        <v/>
      </c>
      <c r="G234" s="61" t="s">
        <v>186</v>
      </c>
      <c r="H234" s="62" t="s">
        <v>187</v>
      </c>
      <c r="I234" s="63" t="s">
        <v>188</v>
      </c>
      <c r="J234" s="64"/>
      <c r="L234" t="str">
        <f>IF(J233&lt;&gt;"","&lt;div&gt;","")</f>
        <v/>
      </c>
      <c r="M234" s="65"/>
      <c r="N234" t="str">
        <f t="shared" si="141"/>
        <v/>
      </c>
      <c r="O234" s="61" t="s">
        <v>186</v>
      </c>
      <c r="P234" s="62" t="s">
        <v>187</v>
      </c>
      <c r="Q234" s="63" t="s">
        <v>188</v>
      </c>
      <c r="T234" t="str">
        <f>CONCATENATE(P234,R234,Q234)</f>
        <v>&lt;div &gt;</v>
      </c>
      <c r="U234" s="65"/>
      <c r="V234" t="str">
        <f t="shared" si="140"/>
        <v/>
      </c>
      <c r="W234" s="61" t="s">
        <v>186</v>
      </c>
      <c r="X234" s="62" t="s">
        <v>187</v>
      </c>
      <c r="Y234" s="63" t="s">
        <v>188</v>
      </c>
      <c r="AB234" t="str">
        <f>CONCATENATE(X234,Z234,Y234)</f>
        <v>&lt;div &gt;</v>
      </c>
      <c r="AC234" s="65"/>
    </row>
    <row r="235" spans="1:29">
      <c r="A235" s="66">
        <f>A228+1</f>
        <v>34</v>
      </c>
      <c r="B235" s="67" t="str">
        <f>IF(B233="","",SUBSTITUTE(SUBSTITUTE(SUBSTITUTE(SUBSTITUTE(SUBSTITUTE(SUBSTITUTE(SUBSTITUTE(SUBSTITUTE(LOWER(CONCATENATE(B233," ",B234))," ","-"),"&lt;",""),"&gt;",""),"ó","o"),"?",""),"¿",""),"é","e"),"á","a"))</f>
        <v/>
      </c>
      <c r="C235" s="68" t="str">
        <f>CONCATENATE("&lt;h3&gt;",SUBSTITUTE(CONCATENATE(B233," ",B234),"&lt;","&amp;lt;"),"&lt;/h3&gt;")</f>
        <v>&lt;h3&gt; &lt;/h3&gt;</v>
      </c>
      <c r="D235" s="59"/>
      <c r="E235" s="60"/>
      <c r="F235" t="str">
        <f t="shared" si="156"/>
        <v/>
      </c>
      <c r="G235" s="61">
        <f>G228+1</f>
        <v>34</v>
      </c>
      <c r="J235" s="59"/>
      <c r="K235" s="59"/>
      <c r="L235" s="68" t="str">
        <f>CONCATENATE("&lt;h4&gt;",SUBSTITUTE(CONCATENATE(J233," ",J234),"&lt;","&amp;lt;"),"&lt;/h4&gt;")</f>
        <v>&lt;h4&gt; &lt;/h4&gt;</v>
      </c>
      <c r="M235" s="65"/>
      <c r="N235" t="str">
        <f t="shared" si="141"/>
        <v/>
      </c>
      <c r="O235" s="61">
        <f>O228+1</f>
        <v>34</v>
      </c>
      <c r="T235" t="str">
        <f>CONCATENATE("&lt;h5&gt;",R233,"&lt;/h5&gt;")</f>
        <v>&lt;h5&gt;&lt;/h5&gt;</v>
      </c>
      <c r="U235" s="65"/>
      <c r="V235" t="str">
        <f t="shared" si="140"/>
        <v/>
      </c>
      <c r="W235" s="61">
        <f>W228+1</f>
        <v>34</v>
      </c>
      <c r="AB235" t="str">
        <f>CONCATENATE("&lt;",$Y$1,"&gt;",Z233,"&lt;/",$Y$1,"&gt;")</f>
        <v>&lt;h6&gt;&lt;/h6&gt;</v>
      </c>
      <c r="AC235" s="65"/>
    </row>
    <row r="236" spans="1:29">
      <c r="A236" s="58" t="str">
        <f t="shared" ref="A236:A239" si="169">""</f>
        <v/>
      </c>
      <c r="B236" s="67" t="str">
        <f>IF(B235&lt;&gt;"",IF(B234="",LEFT(B235,LEN(B235)-1),B235),"")</f>
        <v/>
      </c>
      <c r="D236" s="59"/>
      <c r="E236" s="60"/>
      <c r="F236" t="str">
        <f t="shared" si="156"/>
        <v/>
      </c>
      <c r="G236" s="61" t="s">
        <v>189</v>
      </c>
      <c r="J236" s="64"/>
      <c r="K236" t="s">
        <v>2</v>
      </c>
      <c r="L236" t="str">
        <f>IF(J236&lt;&gt;"",CONCATENATE("&lt;p&gt;",J236,"&lt;/p&gt;"),"")</f>
        <v/>
      </c>
      <c r="M236" s="65"/>
      <c r="N236" t="str">
        <f t="shared" si="141"/>
        <v/>
      </c>
      <c r="O236" s="61" t="s">
        <v>189</v>
      </c>
      <c r="R236" s="64"/>
      <c r="S236" t="s">
        <v>2</v>
      </c>
      <c r="T236" t="str">
        <f>IF(R236&lt;&gt;"",R236,"")</f>
        <v/>
      </c>
      <c r="U236" s="65"/>
      <c r="V236" t="str">
        <f t="shared" si="140"/>
        <v/>
      </c>
      <c r="W236" s="61" t="s">
        <v>189</v>
      </c>
      <c r="Z236" s="64"/>
      <c r="AA236" t="s">
        <v>2</v>
      </c>
      <c r="AB236" t="str">
        <f>IF(Z236&lt;&gt;"",Z236,"")</f>
        <v/>
      </c>
      <c r="AC236" s="65"/>
    </row>
    <row r="237" spans="1:29">
      <c r="A237" s="58" t="s">
        <v>189</v>
      </c>
      <c r="B237" s="64"/>
      <c r="C237" t="s">
        <v>117</v>
      </c>
      <c r="D237" s="59"/>
      <c r="E237" s="60"/>
      <c r="F237" t="str">
        <f t="shared" si="156"/>
        <v/>
      </c>
      <c r="G237" s="61" t="str">
        <f t="shared" ref="G237:G239" si="170">""</f>
        <v/>
      </c>
      <c r="L237" t="s">
        <v>117</v>
      </c>
      <c r="M237" s="65"/>
      <c r="N237" t="str">
        <f t="shared" si="141"/>
        <v/>
      </c>
      <c r="O237" s="61" t="str">
        <f t="shared" ref="O237:O239" si="171">""</f>
        <v/>
      </c>
      <c r="T237" t="s">
        <v>117</v>
      </c>
      <c r="U237" s="65"/>
      <c r="V237" t="str">
        <f t="shared" si="140"/>
        <v/>
      </c>
      <c r="W237" s="61" t="str">
        <f t="shared" ref="W237:W239" si="172">""</f>
        <v/>
      </c>
      <c r="AB237" t="s">
        <v>117</v>
      </c>
      <c r="AC237" s="65"/>
    </row>
    <row r="238" ht="14.55" spans="1:29">
      <c r="A238" s="69" t="str">
        <f t="shared" si="169"/>
        <v/>
      </c>
      <c r="C238" s="49" t="str">
        <f>CONCATENATE("&lt;!-- ",CONCATENATE(B233," ",B234," fin")," --&gt;")</f>
        <v>&lt;!--   fin --&gt;</v>
      </c>
      <c r="D238" s="70"/>
      <c r="E238" s="71"/>
      <c r="F238" t="str">
        <f t="shared" si="156"/>
        <v/>
      </c>
      <c r="G238" s="72" t="str">
        <f t="shared" si="170"/>
        <v/>
      </c>
      <c r="H238" s="49"/>
      <c r="I238" s="49"/>
      <c r="J238" s="49"/>
      <c r="K238" s="49"/>
      <c r="L238" s="49" t="str">
        <f>CONCATENATE("&lt;!-- ",CONCATENATE(J233," ",J234," fin")," --&gt;")</f>
        <v>&lt;!--   fin --&gt;</v>
      </c>
      <c r="M238" s="73"/>
      <c r="N238" t="str">
        <f t="shared" si="141"/>
        <v/>
      </c>
      <c r="O238" s="72" t="str">
        <f t="shared" si="171"/>
        <v/>
      </c>
      <c r="P238" s="49"/>
      <c r="Q238" s="49"/>
      <c r="R238" s="49"/>
      <c r="S238" s="49"/>
      <c r="T238" s="49" t="str">
        <f>CONCATENATE("&lt;!-- ",R233," fin --&gt;")</f>
        <v>&lt;!--  fin --&gt;</v>
      </c>
      <c r="U238" s="73"/>
      <c r="V238" t="str">
        <f t="shared" si="140"/>
        <v/>
      </c>
      <c r="W238" s="72" t="str">
        <f t="shared" si="172"/>
        <v/>
      </c>
      <c r="X238" s="49"/>
      <c r="Y238" s="49"/>
      <c r="Z238" s="49"/>
      <c r="AA238" s="49"/>
      <c r="AB238" s="49" t="str">
        <f>CONCATENATE("&lt;!-- ",Z233," fin --&gt;")</f>
        <v>&lt;!--  fin --&gt;</v>
      </c>
      <c r="AC238" s="73"/>
    </row>
    <row r="239" ht="14.55" spans="1:29">
      <c r="A239" s="74" t="str">
        <f t="shared" si="169"/>
        <v/>
      </c>
      <c r="B239" s="52"/>
      <c r="C239" s="49" t="str">
        <f>""</f>
        <v/>
      </c>
      <c r="D239" s="49"/>
      <c r="E239" s="49"/>
      <c r="F239" t="str">
        <f t="shared" si="156"/>
        <v/>
      </c>
      <c r="G239" s="61" t="str">
        <f t="shared" si="170"/>
        <v/>
      </c>
      <c r="H239" s="75"/>
      <c r="I239" s="75"/>
      <c r="J239" s="52"/>
      <c r="K239" s="55"/>
      <c r="L239" s="49" t="str">
        <f>""</f>
        <v/>
      </c>
      <c r="N239" t="str">
        <f t="shared" si="141"/>
        <v/>
      </c>
      <c r="O239" s="54" t="str">
        <f t="shared" si="171"/>
        <v/>
      </c>
      <c r="P239" s="55"/>
      <c r="Q239" s="55"/>
      <c r="R239" s="52"/>
      <c r="S239" s="55"/>
      <c r="T239" s="49" t="str">
        <f>""</f>
        <v/>
      </c>
      <c r="V239" t="str">
        <f t="shared" si="140"/>
        <v/>
      </c>
      <c r="W239" s="54" t="str">
        <f t="shared" si="172"/>
        <v/>
      </c>
      <c r="X239" s="55"/>
      <c r="Y239" s="55"/>
      <c r="Z239" s="52"/>
      <c r="AA239" s="55"/>
      <c r="AB239" s="49" t="str">
        <f>""</f>
        <v/>
      </c>
    </row>
    <row r="240" spans="1:29">
      <c r="A240" s="50" t="str">
        <f>CONCATENATE("Título ",A242)</f>
        <v>Título 35</v>
      </c>
      <c r="B240" s="57"/>
      <c r="C240" s="51" t="str">
        <f>CONCATENATE("&lt;!-- ",CONCATENATE(B240," ",B241)," --&gt;")</f>
        <v>&lt;!--   --&gt;</v>
      </c>
      <c r="D240" s="52"/>
      <c r="E240" s="53" t="str">
        <f>""</f>
        <v/>
      </c>
      <c r="F240" t="str">
        <f t="shared" si="156"/>
        <v/>
      </c>
      <c r="G240" s="54" t="str">
        <f>CONCATENATE("Título ",G242)</f>
        <v>Título 35</v>
      </c>
      <c r="H240" s="55"/>
      <c r="I240" s="55"/>
      <c r="J240" s="57"/>
      <c r="K240" s="55" t="s">
        <v>2</v>
      </c>
      <c r="L240" s="51" t="str">
        <f>CONCATENATE("&lt;!-- ",CONCATENATE(J240," ",J241)," --&gt;")</f>
        <v>&lt;!--   --&gt;</v>
      </c>
      <c r="M240" s="56"/>
      <c r="N240" t="str">
        <f t="shared" si="141"/>
        <v/>
      </c>
      <c r="O240" s="54" t="str">
        <f>G240</f>
        <v>Título 35</v>
      </c>
      <c r="P240" s="55"/>
      <c r="Q240" s="55"/>
      <c r="R240" s="57"/>
      <c r="S240" s="55"/>
      <c r="T240" s="55" t="str">
        <f>CONCATENATE("&lt;!-- ",R240," --&gt;")</f>
        <v>&lt;!--  --&gt;</v>
      </c>
      <c r="U240" s="56"/>
      <c r="V240" t="str">
        <f t="shared" si="140"/>
        <v/>
      </c>
      <c r="W240" s="54" t="str">
        <f>O240</f>
        <v>Título 35</v>
      </c>
      <c r="X240" s="55"/>
      <c r="Y240" s="55"/>
      <c r="Z240" s="57"/>
      <c r="AA240" s="55"/>
      <c r="AB240" s="55" t="str">
        <f>CONCATENATE("&lt;!-- ",Z240," --&gt;")</f>
        <v>&lt;!--  --&gt;</v>
      </c>
      <c r="AC240" s="56"/>
    </row>
    <row r="241" ht="14.4" spans="1:29">
      <c r="A241" s="58" t="s">
        <v>186</v>
      </c>
      <c r="C241" t="str">
        <f>IF(B242&lt;&gt;"",CONCATENATE("&lt;div id=",Comilla,B243,Comilla,"&gt;"),"")</f>
        <v/>
      </c>
      <c r="D241" s="59"/>
      <c r="E241" s="60" t="str">
        <f>CONCATENATE(" &lt;a href=",Comilla,"#",B243,Comilla," class=",Comilla,"submenu-item",Comilla,"&gt;",B240,"&lt;/a&gt;")</f>
        <v> &lt;a href="#" class="submenu-item"&gt;&lt;/a&gt;</v>
      </c>
      <c r="F241" t="str">
        <f t="shared" si="156"/>
        <v/>
      </c>
      <c r="G241" s="61" t="s">
        <v>186</v>
      </c>
      <c r="H241" s="62" t="s">
        <v>187</v>
      </c>
      <c r="I241" s="63" t="s">
        <v>188</v>
      </c>
      <c r="J241" s="64"/>
      <c r="L241" t="str">
        <f>IF(J240&lt;&gt;"","&lt;div&gt;","")</f>
        <v/>
      </c>
      <c r="M241" s="65"/>
      <c r="N241" t="str">
        <f t="shared" si="141"/>
        <v/>
      </c>
      <c r="O241" s="61" t="s">
        <v>186</v>
      </c>
      <c r="P241" s="62" t="s">
        <v>187</v>
      </c>
      <c r="Q241" s="63" t="s">
        <v>188</v>
      </c>
      <c r="T241" t="str">
        <f>CONCATENATE(P241,R241,Q241)</f>
        <v>&lt;div &gt;</v>
      </c>
      <c r="U241" s="65"/>
      <c r="V241" t="str">
        <f t="shared" si="140"/>
        <v/>
      </c>
      <c r="W241" s="61" t="s">
        <v>186</v>
      </c>
      <c r="X241" s="62" t="s">
        <v>187</v>
      </c>
      <c r="Y241" s="63" t="s">
        <v>188</v>
      </c>
      <c r="AB241" t="str">
        <f>CONCATENATE(X241,Z241,Y241)</f>
        <v>&lt;div &gt;</v>
      </c>
      <c r="AC241" s="65"/>
    </row>
    <row r="242" spans="1:29">
      <c r="A242" s="66">
        <f>A235+1</f>
        <v>35</v>
      </c>
      <c r="B242" s="67" t="str">
        <f>IF(B240="","",SUBSTITUTE(SUBSTITUTE(SUBSTITUTE(SUBSTITUTE(SUBSTITUTE(SUBSTITUTE(SUBSTITUTE(SUBSTITUTE(LOWER(CONCATENATE(B240," ",B241))," ","-"),"&lt;",""),"&gt;",""),"ó","o"),"?",""),"¿",""),"é","e"),"á","a"))</f>
        <v/>
      </c>
      <c r="C242" s="68" t="str">
        <f>CONCATENATE("&lt;h3&gt;",SUBSTITUTE(CONCATENATE(B240," ",B241),"&lt;","&amp;lt;"),"&lt;/h3&gt;")</f>
        <v>&lt;h3&gt; &lt;/h3&gt;</v>
      </c>
      <c r="D242" s="59"/>
      <c r="E242" s="60"/>
      <c r="F242" t="str">
        <f t="shared" si="156"/>
        <v/>
      </c>
      <c r="G242" s="61">
        <f>G235+1</f>
        <v>35</v>
      </c>
      <c r="J242" s="59"/>
      <c r="K242" s="59"/>
      <c r="L242" s="68" t="str">
        <f>CONCATENATE("&lt;h4&gt;",SUBSTITUTE(CONCATENATE(J240," ",J241),"&lt;","&amp;lt;"),"&lt;/h4&gt;")</f>
        <v>&lt;h4&gt; &lt;/h4&gt;</v>
      </c>
      <c r="M242" s="65"/>
      <c r="N242" t="str">
        <f t="shared" si="141"/>
        <v/>
      </c>
      <c r="O242" s="61">
        <f>O235+1</f>
        <v>35</v>
      </c>
      <c r="T242" t="str">
        <f>CONCATENATE("&lt;h5&gt;",R240,"&lt;/h5&gt;")</f>
        <v>&lt;h5&gt;&lt;/h5&gt;</v>
      </c>
      <c r="U242" s="65"/>
      <c r="V242" t="str">
        <f t="shared" si="140"/>
        <v/>
      </c>
      <c r="W242" s="61">
        <f>W235+1</f>
        <v>35</v>
      </c>
      <c r="AB242" t="str">
        <f>CONCATENATE("&lt;",$Y$1,"&gt;",Z240,"&lt;/",$Y$1,"&gt;")</f>
        <v>&lt;h6&gt;&lt;/h6&gt;</v>
      </c>
      <c r="AC242" s="65"/>
    </row>
    <row r="243" spans="1:29">
      <c r="A243" s="58" t="str">
        <f t="shared" ref="A243:A246" si="173">""</f>
        <v/>
      </c>
      <c r="B243" s="67" t="str">
        <f>IF(B242&lt;&gt;"",IF(B241="",LEFT(B242,LEN(B242)-1),B242),"")</f>
        <v/>
      </c>
      <c r="D243" s="59"/>
      <c r="E243" s="60"/>
      <c r="F243" t="str">
        <f t="shared" si="156"/>
        <v/>
      </c>
      <c r="G243" s="61" t="s">
        <v>189</v>
      </c>
      <c r="J243" s="64"/>
      <c r="K243" t="s">
        <v>2</v>
      </c>
      <c r="L243" t="str">
        <f>IF(J243&lt;&gt;"",CONCATENATE("&lt;p&gt;",J243,"&lt;/p&gt;"),"")</f>
        <v/>
      </c>
      <c r="M243" s="65"/>
      <c r="N243" t="str">
        <f t="shared" si="141"/>
        <v/>
      </c>
      <c r="O243" s="61" t="s">
        <v>189</v>
      </c>
      <c r="R243" s="64"/>
      <c r="S243" t="s">
        <v>2</v>
      </c>
      <c r="T243" t="str">
        <f>IF(R243&lt;&gt;"",R243,"")</f>
        <v/>
      </c>
      <c r="U243" s="65"/>
      <c r="V243" t="str">
        <f t="shared" si="140"/>
        <v/>
      </c>
      <c r="W243" s="61" t="s">
        <v>189</v>
      </c>
      <c r="Z243" s="64"/>
      <c r="AA243" t="s">
        <v>2</v>
      </c>
      <c r="AB243" t="str">
        <f>IF(Z243&lt;&gt;"",Z243,"")</f>
        <v/>
      </c>
      <c r="AC243" s="65"/>
    </row>
    <row r="244" spans="1:29">
      <c r="A244" s="58" t="s">
        <v>189</v>
      </c>
      <c r="B244" s="64"/>
      <c r="C244" t="s">
        <v>117</v>
      </c>
      <c r="D244" s="59"/>
      <c r="E244" s="60"/>
      <c r="F244" t="str">
        <f t="shared" si="156"/>
        <v/>
      </c>
      <c r="G244" s="61" t="str">
        <f t="shared" ref="G244:G246" si="174">""</f>
        <v/>
      </c>
      <c r="L244" t="s">
        <v>117</v>
      </c>
      <c r="M244" s="65"/>
      <c r="N244" t="str">
        <f t="shared" si="141"/>
        <v/>
      </c>
      <c r="O244" s="61" t="str">
        <f t="shared" ref="O244:O246" si="175">""</f>
        <v/>
      </c>
      <c r="T244" t="s">
        <v>117</v>
      </c>
      <c r="U244" s="65"/>
      <c r="V244" t="str">
        <f t="shared" si="140"/>
        <v/>
      </c>
      <c r="W244" s="61" t="str">
        <f t="shared" ref="W244:W246" si="176">""</f>
        <v/>
      </c>
      <c r="AB244" t="s">
        <v>117</v>
      </c>
      <c r="AC244" s="65"/>
    </row>
    <row r="245" ht="14.55" spans="1:29">
      <c r="A245" s="69" t="str">
        <f t="shared" si="173"/>
        <v/>
      </c>
      <c r="C245" s="49" t="str">
        <f>CONCATENATE("&lt;!-- ",CONCATENATE(B240," ",B241," fin")," --&gt;")</f>
        <v>&lt;!--   fin --&gt;</v>
      </c>
      <c r="D245" s="70"/>
      <c r="E245" s="71"/>
      <c r="F245" t="str">
        <f t="shared" si="156"/>
        <v/>
      </c>
      <c r="G245" s="72" t="str">
        <f t="shared" si="174"/>
        <v/>
      </c>
      <c r="H245" s="49"/>
      <c r="I245" s="49"/>
      <c r="J245" s="49"/>
      <c r="K245" s="49"/>
      <c r="L245" s="49" t="str">
        <f>CONCATENATE("&lt;!-- ",CONCATENATE(J240," ",J241," fin")," --&gt;")</f>
        <v>&lt;!--   fin --&gt;</v>
      </c>
      <c r="M245" s="73"/>
      <c r="N245" t="str">
        <f t="shared" si="141"/>
        <v/>
      </c>
      <c r="O245" s="72" t="str">
        <f t="shared" si="175"/>
        <v/>
      </c>
      <c r="P245" s="49"/>
      <c r="Q245" s="49"/>
      <c r="R245" s="49"/>
      <c r="S245" s="49"/>
      <c r="T245" s="49" t="str">
        <f>CONCATENATE("&lt;!-- ",R240," fin --&gt;")</f>
        <v>&lt;!--  fin --&gt;</v>
      </c>
      <c r="U245" s="73"/>
      <c r="V245" t="str">
        <f t="shared" si="140"/>
        <v/>
      </c>
      <c r="W245" s="72" t="str">
        <f t="shared" si="176"/>
        <v/>
      </c>
      <c r="X245" s="49"/>
      <c r="Y245" s="49"/>
      <c r="Z245" s="49"/>
      <c r="AA245" s="49"/>
      <c r="AB245" s="49" t="str">
        <f>CONCATENATE("&lt;!-- ",Z240," fin --&gt;")</f>
        <v>&lt;!--  fin --&gt;</v>
      </c>
      <c r="AC245" s="73"/>
    </row>
    <row r="246" ht="14.55" spans="1:29">
      <c r="A246" s="74" t="str">
        <f t="shared" si="173"/>
        <v/>
      </c>
      <c r="B246" s="52"/>
      <c r="C246" s="49" t="str">
        <f>""</f>
        <v/>
      </c>
      <c r="D246" s="49"/>
      <c r="E246" s="49"/>
      <c r="F246" t="str">
        <f t="shared" si="156"/>
        <v/>
      </c>
      <c r="G246" s="61" t="str">
        <f t="shared" si="174"/>
        <v/>
      </c>
      <c r="H246" s="75"/>
      <c r="I246" s="75"/>
      <c r="J246" s="52"/>
      <c r="K246" s="55"/>
      <c r="L246" s="49" t="str">
        <f>""</f>
        <v/>
      </c>
      <c r="N246" t="str">
        <f t="shared" si="141"/>
        <v/>
      </c>
      <c r="O246" s="54" t="str">
        <f t="shared" si="175"/>
        <v/>
      </c>
      <c r="P246" s="55"/>
      <c r="Q246" s="55"/>
      <c r="R246" s="52"/>
      <c r="S246" s="55"/>
      <c r="T246" s="49" t="str">
        <f>""</f>
        <v/>
      </c>
      <c r="V246" t="str">
        <f t="shared" si="140"/>
        <v/>
      </c>
      <c r="W246" s="54" t="str">
        <f t="shared" si="176"/>
        <v/>
      </c>
      <c r="X246" s="55"/>
      <c r="Y246" s="55"/>
      <c r="Z246" s="52"/>
      <c r="AA246" s="55"/>
      <c r="AB246" s="49" t="str">
        <f>""</f>
        <v/>
      </c>
    </row>
    <row r="247" spans="1:29">
      <c r="A247" s="50" t="str">
        <f>CONCATENATE("Título ",A249)</f>
        <v>Título 36</v>
      </c>
      <c r="B247" s="57"/>
      <c r="C247" s="51" t="str">
        <f>CONCATENATE("&lt;!-- ",CONCATENATE(B247," ",B248)," --&gt;")</f>
        <v>&lt;!--   --&gt;</v>
      </c>
      <c r="D247" s="52"/>
      <c r="E247" s="53" t="str">
        <f>""</f>
        <v/>
      </c>
      <c r="F247" t="str">
        <f t="shared" si="156"/>
        <v/>
      </c>
      <c r="G247" s="54" t="str">
        <f>CONCATENATE("Título ",G249)</f>
        <v>Título 36</v>
      </c>
      <c r="H247" s="55"/>
      <c r="I247" s="55"/>
      <c r="J247" s="57"/>
      <c r="K247" s="55" t="s">
        <v>2</v>
      </c>
      <c r="L247" s="51" t="str">
        <f>CONCATENATE("&lt;!-- ",CONCATENATE(J247," ",J248)," --&gt;")</f>
        <v>&lt;!--   --&gt;</v>
      </c>
      <c r="M247" s="56"/>
      <c r="N247" t="str">
        <f t="shared" si="141"/>
        <v/>
      </c>
      <c r="O247" s="54" t="str">
        <f>G247</f>
        <v>Título 36</v>
      </c>
      <c r="P247" s="55"/>
      <c r="Q247" s="55"/>
      <c r="R247" s="57"/>
      <c r="S247" s="55"/>
      <c r="T247" s="55" t="str">
        <f>CONCATENATE("&lt;!-- ",R247," --&gt;")</f>
        <v>&lt;!--  --&gt;</v>
      </c>
      <c r="U247" s="56"/>
      <c r="V247" t="str">
        <f t="shared" si="140"/>
        <v/>
      </c>
      <c r="W247" s="54" t="str">
        <f>O247</f>
        <v>Título 36</v>
      </c>
      <c r="X247" s="55"/>
      <c r="Y247" s="55"/>
      <c r="Z247" s="57"/>
      <c r="AA247" s="55"/>
      <c r="AB247" s="55" t="str">
        <f>CONCATENATE("&lt;!-- ",Z247," --&gt;")</f>
        <v>&lt;!--  --&gt;</v>
      </c>
      <c r="AC247" s="56"/>
    </row>
    <row r="248" ht="14.4" spans="1:29">
      <c r="A248" s="58" t="s">
        <v>186</v>
      </c>
      <c r="C248" t="str">
        <f>IF(B249&lt;&gt;"",CONCATENATE("&lt;div id=",Comilla,B250,Comilla,"&gt;"),"")</f>
        <v/>
      </c>
      <c r="D248" s="59"/>
      <c r="E248" s="60" t="str">
        <f>CONCATENATE(" &lt;a href=",Comilla,"#",B250,Comilla," class=",Comilla,"submenu-item",Comilla,"&gt;",B247,"&lt;/a&gt;")</f>
        <v> &lt;a href="#" class="submenu-item"&gt;&lt;/a&gt;</v>
      </c>
      <c r="F248" t="str">
        <f t="shared" si="156"/>
        <v/>
      </c>
      <c r="G248" s="61" t="s">
        <v>186</v>
      </c>
      <c r="H248" s="62" t="s">
        <v>187</v>
      </c>
      <c r="I248" s="63" t="s">
        <v>188</v>
      </c>
      <c r="J248" s="64"/>
      <c r="L248" t="str">
        <f>IF(J247&lt;&gt;"","&lt;div&gt;","")</f>
        <v/>
      </c>
      <c r="M248" s="65"/>
      <c r="N248" t="str">
        <f t="shared" si="141"/>
        <v/>
      </c>
      <c r="O248" s="61" t="s">
        <v>186</v>
      </c>
      <c r="P248" s="62" t="s">
        <v>187</v>
      </c>
      <c r="Q248" s="63" t="s">
        <v>188</v>
      </c>
      <c r="T248" t="str">
        <f>CONCATENATE(P248,R248,Q248)</f>
        <v>&lt;div &gt;</v>
      </c>
      <c r="U248" s="65"/>
      <c r="V248" t="str">
        <f t="shared" si="140"/>
        <v/>
      </c>
      <c r="W248" s="61" t="s">
        <v>186</v>
      </c>
      <c r="X248" s="62" t="s">
        <v>187</v>
      </c>
      <c r="Y248" s="63" t="s">
        <v>188</v>
      </c>
      <c r="AB248" t="str">
        <f>CONCATENATE(X248,Z248,Y248)</f>
        <v>&lt;div &gt;</v>
      </c>
      <c r="AC248" s="65"/>
    </row>
    <row r="249" spans="1:29">
      <c r="A249" s="66">
        <f>A242+1</f>
        <v>36</v>
      </c>
      <c r="B249" s="67" t="str">
        <f>IF(B247="","",SUBSTITUTE(SUBSTITUTE(SUBSTITUTE(SUBSTITUTE(SUBSTITUTE(SUBSTITUTE(SUBSTITUTE(SUBSTITUTE(LOWER(CONCATENATE(B247," ",B248))," ","-"),"&lt;",""),"&gt;",""),"ó","o"),"?",""),"¿",""),"é","e"),"á","a"))</f>
        <v/>
      </c>
      <c r="C249" s="68" t="str">
        <f>CONCATENATE("&lt;h3&gt;",SUBSTITUTE(CONCATENATE(B247," ",B248),"&lt;","&amp;lt;"),"&lt;/h3&gt;")</f>
        <v>&lt;h3&gt; &lt;/h3&gt;</v>
      </c>
      <c r="D249" s="59"/>
      <c r="E249" s="60"/>
      <c r="F249" t="str">
        <f t="shared" si="156"/>
        <v/>
      </c>
      <c r="G249" s="61">
        <f>G242+1</f>
        <v>36</v>
      </c>
      <c r="J249" s="59"/>
      <c r="K249" s="59"/>
      <c r="L249" s="68" t="str">
        <f>CONCATENATE("&lt;h4&gt;",SUBSTITUTE(CONCATENATE(J247," ",J248),"&lt;","&amp;lt;"),"&lt;/h4&gt;")</f>
        <v>&lt;h4&gt; &lt;/h4&gt;</v>
      </c>
      <c r="M249" s="65"/>
      <c r="N249" t="str">
        <f t="shared" si="141"/>
        <v/>
      </c>
      <c r="O249" s="61">
        <f>O242+1</f>
        <v>36</v>
      </c>
      <c r="T249" t="str">
        <f>CONCATENATE("&lt;h5&gt;",R247,"&lt;/h5&gt;")</f>
        <v>&lt;h5&gt;&lt;/h5&gt;</v>
      </c>
      <c r="U249" s="65"/>
      <c r="V249" t="str">
        <f t="shared" si="140"/>
        <v/>
      </c>
      <c r="W249" s="61">
        <f>W242+1</f>
        <v>36</v>
      </c>
      <c r="AB249" t="str">
        <f>CONCATENATE("&lt;",$Y$1,"&gt;",Z247,"&lt;/",$Y$1,"&gt;")</f>
        <v>&lt;h6&gt;&lt;/h6&gt;</v>
      </c>
      <c r="AC249" s="65"/>
    </row>
    <row r="250" spans="1:29">
      <c r="A250" s="58" t="str">
        <f t="shared" ref="A250:A253" si="177">""</f>
        <v/>
      </c>
      <c r="B250" s="67" t="str">
        <f>IF(B249&lt;&gt;"",IF(B248="",LEFT(B249,LEN(B249)-1),B249),"")</f>
        <v/>
      </c>
      <c r="D250" s="59"/>
      <c r="E250" s="60"/>
      <c r="F250" t="str">
        <f t="shared" si="156"/>
        <v/>
      </c>
      <c r="G250" s="61" t="s">
        <v>189</v>
      </c>
      <c r="J250" s="64"/>
      <c r="K250" t="s">
        <v>2</v>
      </c>
      <c r="L250" t="str">
        <f>IF(J250&lt;&gt;"",CONCATENATE("&lt;p&gt;",J250,"&lt;/p&gt;"),"")</f>
        <v/>
      </c>
      <c r="M250" s="65"/>
      <c r="N250" t="str">
        <f t="shared" si="141"/>
        <v/>
      </c>
      <c r="O250" s="61" t="s">
        <v>189</v>
      </c>
      <c r="R250" s="64"/>
      <c r="S250" t="s">
        <v>2</v>
      </c>
      <c r="T250" t="str">
        <f>IF(R250&lt;&gt;"",R250,"")</f>
        <v/>
      </c>
      <c r="U250" s="65"/>
      <c r="V250" t="str">
        <f t="shared" si="140"/>
        <v/>
      </c>
      <c r="W250" s="61" t="s">
        <v>189</v>
      </c>
      <c r="Z250" s="64"/>
      <c r="AA250" t="s">
        <v>2</v>
      </c>
      <c r="AB250" t="str">
        <f>IF(Z250&lt;&gt;"",Z250,"")</f>
        <v/>
      </c>
      <c r="AC250" s="65"/>
    </row>
    <row r="251" spans="1:29">
      <c r="A251" s="58" t="s">
        <v>189</v>
      </c>
      <c r="B251" s="64"/>
      <c r="C251" t="s">
        <v>117</v>
      </c>
      <c r="D251" s="59"/>
      <c r="E251" s="60"/>
      <c r="F251" t="str">
        <f t="shared" si="156"/>
        <v/>
      </c>
      <c r="G251" s="61" t="str">
        <f t="shared" ref="G251:G253" si="178">""</f>
        <v/>
      </c>
      <c r="L251" t="s">
        <v>117</v>
      </c>
      <c r="M251" s="65"/>
      <c r="N251" t="str">
        <f t="shared" si="141"/>
        <v/>
      </c>
      <c r="O251" s="61" t="str">
        <f t="shared" ref="O251:O253" si="179">""</f>
        <v/>
      </c>
      <c r="T251" t="s">
        <v>117</v>
      </c>
      <c r="U251" s="65"/>
      <c r="V251" t="str">
        <f t="shared" si="140"/>
        <v/>
      </c>
      <c r="W251" s="61" t="str">
        <f t="shared" ref="W251:W253" si="180">""</f>
        <v/>
      </c>
      <c r="AB251" t="s">
        <v>117</v>
      </c>
      <c r="AC251" s="65"/>
    </row>
    <row r="252" ht="14.55" spans="1:29">
      <c r="A252" s="69" t="str">
        <f t="shared" si="177"/>
        <v/>
      </c>
      <c r="C252" s="49" t="str">
        <f>CONCATENATE("&lt;!-- ",CONCATENATE(B247," ",B248," fin")," --&gt;")</f>
        <v>&lt;!--   fin --&gt;</v>
      </c>
      <c r="D252" s="70"/>
      <c r="E252" s="71"/>
      <c r="F252" t="str">
        <f t="shared" si="156"/>
        <v/>
      </c>
      <c r="G252" s="72" t="str">
        <f t="shared" si="178"/>
        <v/>
      </c>
      <c r="H252" s="49"/>
      <c r="I252" s="49"/>
      <c r="J252" s="49"/>
      <c r="K252" s="49"/>
      <c r="L252" s="49" t="str">
        <f>CONCATENATE("&lt;!-- ",CONCATENATE(J247," ",J248," fin")," --&gt;")</f>
        <v>&lt;!--   fin --&gt;</v>
      </c>
      <c r="M252" s="73"/>
      <c r="N252" t="str">
        <f t="shared" si="141"/>
        <v/>
      </c>
      <c r="O252" s="72" t="str">
        <f t="shared" si="179"/>
        <v/>
      </c>
      <c r="P252" s="49"/>
      <c r="Q252" s="49"/>
      <c r="R252" s="49"/>
      <c r="S252" s="49"/>
      <c r="T252" s="49" t="str">
        <f>CONCATENATE("&lt;!-- ",R247," fin --&gt;")</f>
        <v>&lt;!--  fin --&gt;</v>
      </c>
      <c r="U252" s="73"/>
      <c r="V252" t="str">
        <f t="shared" si="140"/>
        <v/>
      </c>
      <c r="W252" s="72" t="str">
        <f t="shared" si="180"/>
        <v/>
      </c>
      <c r="X252" s="49"/>
      <c r="Y252" s="49"/>
      <c r="Z252" s="49"/>
      <c r="AA252" s="49"/>
      <c r="AB252" s="49" t="str">
        <f>CONCATENATE("&lt;!-- ",Z247," fin --&gt;")</f>
        <v>&lt;!--  fin --&gt;</v>
      </c>
      <c r="AC252" s="73"/>
    </row>
    <row r="253" ht="14.55" spans="1:29">
      <c r="A253" s="74" t="str">
        <f t="shared" si="177"/>
        <v/>
      </c>
      <c r="B253" s="52"/>
      <c r="C253" s="49" t="str">
        <f>""</f>
        <v/>
      </c>
      <c r="D253" s="49"/>
      <c r="E253" s="49"/>
      <c r="F253" t="str">
        <f t="shared" si="156"/>
        <v/>
      </c>
      <c r="G253" s="61" t="str">
        <f t="shared" si="178"/>
        <v/>
      </c>
      <c r="H253" s="75"/>
      <c r="I253" s="75"/>
      <c r="J253" s="52"/>
      <c r="K253" s="55"/>
      <c r="L253" s="49" t="str">
        <f>""</f>
        <v/>
      </c>
      <c r="N253" t="str">
        <f t="shared" si="141"/>
        <v/>
      </c>
      <c r="O253" s="54" t="str">
        <f t="shared" si="179"/>
        <v/>
      </c>
      <c r="P253" s="55"/>
      <c r="Q253" s="55"/>
      <c r="R253" s="52"/>
      <c r="S253" s="55"/>
      <c r="T253" s="49" t="str">
        <f>""</f>
        <v/>
      </c>
      <c r="V253" t="str">
        <f t="shared" si="140"/>
        <v/>
      </c>
      <c r="W253" s="54" t="str">
        <f t="shared" si="180"/>
        <v/>
      </c>
      <c r="X253" s="55"/>
      <c r="Y253" s="55"/>
      <c r="Z253" s="52"/>
      <c r="AA253" s="55"/>
      <c r="AB253" s="49" t="str">
        <f>""</f>
        <v/>
      </c>
    </row>
    <row r="254" spans="1:29">
      <c r="A254" s="50" t="str">
        <f>CONCATENATE("Título ",A256)</f>
        <v>Título 37</v>
      </c>
      <c r="B254" s="57"/>
      <c r="C254" s="51" t="str">
        <f>CONCATENATE("&lt;!-- ",CONCATENATE(B254," ",B255)," --&gt;")</f>
        <v>&lt;!--   --&gt;</v>
      </c>
      <c r="D254" s="52"/>
      <c r="E254" s="53" t="str">
        <f>""</f>
        <v/>
      </c>
      <c r="F254" t="str">
        <f t="shared" si="156"/>
        <v/>
      </c>
      <c r="G254" s="54" t="str">
        <f>CONCATENATE("Título ",G256)</f>
        <v>Título 37</v>
      </c>
      <c r="H254" s="55"/>
      <c r="I254" s="55"/>
      <c r="J254" s="57"/>
      <c r="K254" s="55" t="s">
        <v>2</v>
      </c>
      <c r="L254" s="51" t="str">
        <f>CONCATENATE("&lt;!-- ",CONCATENATE(J254," ",J255)," --&gt;")</f>
        <v>&lt;!--   --&gt;</v>
      </c>
      <c r="M254" s="56"/>
      <c r="N254" t="str">
        <f t="shared" si="141"/>
        <v/>
      </c>
      <c r="O254" s="54" t="str">
        <f>G254</f>
        <v>Título 37</v>
      </c>
      <c r="P254" s="55"/>
      <c r="Q254" s="55"/>
      <c r="R254" s="57"/>
      <c r="S254" s="55"/>
      <c r="T254" s="55" t="str">
        <f>CONCATENATE("&lt;!-- ",R254," --&gt;")</f>
        <v>&lt;!--  --&gt;</v>
      </c>
      <c r="U254" s="56"/>
      <c r="V254" t="str">
        <f t="shared" si="140"/>
        <v/>
      </c>
      <c r="W254" s="54" t="str">
        <f>O254</f>
        <v>Título 37</v>
      </c>
      <c r="X254" s="55"/>
      <c r="Y254" s="55"/>
      <c r="Z254" s="57"/>
      <c r="AA254" s="55"/>
      <c r="AB254" s="55" t="str">
        <f>CONCATENATE("&lt;!-- ",Z254," --&gt;")</f>
        <v>&lt;!--  --&gt;</v>
      </c>
      <c r="AC254" s="56"/>
    </row>
    <row r="255" ht="14.4" spans="1:29">
      <c r="A255" s="58" t="s">
        <v>186</v>
      </c>
      <c r="C255" t="str">
        <f>IF(B256&lt;&gt;"",CONCATENATE("&lt;div id=",Comilla,B257,Comilla,"&gt;"),"")</f>
        <v/>
      </c>
      <c r="D255" s="59"/>
      <c r="E255" s="60" t="str">
        <f>CONCATENATE(" &lt;a href=",Comilla,"#",B257,Comilla," class=",Comilla,"submenu-item",Comilla,"&gt;",B254,"&lt;/a&gt;")</f>
        <v> &lt;a href="#" class="submenu-item"&gt;&lt;/a&gt;</v>
      </c>
      <c r="F255" t="str">
        <f t="shared" si="156"/>
        <v/>
      </c>
      <c r="G255" s="61" t="s">
        <v>186</v>
      </c>
      <c r="H255" s="62" t="s">
        <v>187</v>
      </c>
      <c r="I255" s="63" t="s">
        <v>188</v>
      </c>
      <c r="J255" s="64"/>
      <c r="L255" t="str">
        <f>IF(J254&lt;&gt;"","&lt;div&gt;","")</f>
        <v/>
      </c>
      <c r="M255" s="65"/>
      <c r="N255" t="str">
        <f t="shared" si="141"/>
        <v/>
      </c>
      <c r="O255" s="61" t="s">
        <v>186</v>
      </c>
      <c r="P255" s="62" t="s">
        <v>187</v>
      </c>
      <c r="Q255" s="63" t="s">
        <v>188</v>
      </c>
      <c r="T255" t="str">
        <f>CONCATENATE(P255,R255,Q255)</f>
        <v>&lt;div &gt;</v>
      </c>
      <c r="U255" s="65"/>
      <c r="V255" t="str">
        <f t="shared" si="140"/>
        <v/>
      </c>
      <c r="W255" s="61" t="s">
        <v>186</v>
      </c>
      <c r="X255" s="62" t="s">
        <v>187</v>
      </c>
      <c r="Y255" s="63" t="s">
        <v>188</v>
      </c>
      <c r="AB255" t="str">
        <f>CONCATENATE(X255,Z255,Y255)</f>
        <v>&lt;div &gt;</v>
      </c>
      <c r="AC255" s="65"/>
    </row>
    <row r="256" spans="1:29">
      <c r="A256" s="66">
        <f>A249+1</f>
        <v>37</v>
      </c>
      <c r="B256" s="67" t="str">
        <f>IF(B254="","",SUBSTITUTE(SUBSTITUTE(SUBSTITUTE(SUBSTITUTE(SUBSTITUTE(SUBSTITUTE(SUBSTITUTE(SUBSTITUTE(LOWER(CONCATENATE(B254," ",B255))," ","-"),"&lt;",""),"&gt;",""),"ó","o"),"?",""),"¿",""),"é","e"),"á","a"))</f>
        <v/>
      </c>
      <c r="C256" s="68" t="str">
        <f>CONCATENATE("&lt;h3&gt;",SUBSTITUTE(CONCATENATE(B254," ",B255),"&lt;","&amp;lt;"),"&lt;/h3&gt;")</f>
        <v>&lt;h3&gt; &lt;/h3&gt;</v>
      </c>
      <c r="D256" s="59"/>
      <c r="E256" s="60"/>
      <c r="F256" t="str">
        <f t="shared" ref="F256:F263" si="181">""</f>
        <v/>
      </c>
      <c r="G256" s="61">
        <f>G249+1</f>
        <v>37</v>
      </c>
      <c r="J256" s="59"/>
      <c r="K256" s="59"/>
      <c r="L256" s="68" t="str">
        <f>CONCATENATE("&lt;h4&gt;",SUBSTITUTE(CONCATENATE(J254," ",J255),"&lt;","&amp;lt;"),"&lt;/h4&gt;")</f>
        <v>&lt;h4&gt; &lt;/h4&gt;</v>
      </c>
      <c r="M256" s="65"/>
      <c r="N256" t="str">
        <f t="shared" si="141"/>
        <v/>
      </c>
      <c r="O256" s="61">
        <f>O249+1</f>
        <v>37</v>
      </c>
      <c r="T256" t="str">
        <f>CONCATENATE("&lt;h5&gt;",R254,"&lt;/h5&gt;")</f>
        <v>&lt;h5&gt;&lt;/h5&gt;</v>
      </c>
      <c r="U256" s="65"/>
      <c r="V256" t="str">
        <f t="shared" ref="V256:V263" si="182">""</f>
        <v/>
      </c>
      <c r="W256" s="61">
        <f>W249+1</f>
        <v>37</v>
      </c>
      <c r="AB256" t="str">
        <f>CONCATENATE("&lt;",$Y$1,"&gt;",Z254,"&lt;/",$Y$1,"&gt;")</f>
        <v>&lt;h6&gt;&lt;/h6&gt;</v>
      </c>
      <c r="AC256" s="65"/>
    </row>
    <row r="257" spans="1:29">
      <c r="A257" s="58" t="str">
        <f t="shared" ref="A257:A260" si="183">""</f>
        <v/>
      </c>
      <c r="B257" s="67" t="str">
        <f>IF(B256&lt;&gt;"",IF(B255="",LEFT(B256,LEN(B256)-1),B256),"")</f>
        <v/>
      </c>
      <c r="D257" s="59"/>
      <c r="E257" s="60"/>
      <c r="F257" t="str">
        <f t="shared" si="181"/>
        <v/>
      </c>
      <c r="G257" s="61" t="s">
        <v>189</v>
      </c>
      <c r="J257" s="64"/>
      <c r="K257" t="s">
        <v>2</v>
      </c>
      <c r="L257" t="str">
        <f>IF(J257&lt;&gt;"",CONCATENATE("&lt;p&gt;",J257,"&lt;/p&gt;"),"")</f>
        <v/>
      </c>
      <c r="M257" s="65"/>
      <c r="N257" t="str">
        <f t="shared" ref="N257:N264" si="184">""</f>
        <v/>
      </c>
      <c r="O257" s="61" t="s">
        <v>189</v>
      </c>
      <c r="R257" s="64"/>
      <c r="S257" t="s">
        <v>2</v>
      </c>
      <c r="T257" t="str">
        <f>IF(R257&lt;&gt;"",R257,"")</f>
        <v/>
      </c>
      <c r="U257" s="65"/>
      <c r="V257" t="str">
        <f t="shared" si="182"/>
        <v/>
      </c>
      <c r="W257" s="61" t="s">
        <v>189</v>
      </c>
      <c r="Z257" s="64"/>
      <c r="AA257" t="s">
        <v>2</v>
      </c>
      <c r="AB257" t="str">
        <f>IF(Z257&lt;&gt;"",Z257,"")</f>
        <v/>
      </c>
      <c r="AC257" s="65"/>
    </row>
    <row r="258" spans="1:29">
      <c r="A258" s="58" t="s">
        <v>189</v>
      </c>
      <c r="B258" s="64"/>
      <c r="C258" t="s">
        <v>117</v>
      </c>
      <c r="D258" s="59"/>
      <c r="E258" s="60"/>
      <c r="F258" t="str">
        <f t="shared" si="181"/>
        <v/>
      </c>
      <c r="G258" s="61" t="str">
        <f t="shared" ref="G258:G260" si="185">""</f>
        <v/>
      </c>
      <c r="L258" t="s">
        <v>117</v>
      </c>
      <c r="M258" s="65"/>
      <c r="N258" t="str">
        <f t="shared" si="184"/>
        <v/>
      </c>
      <c r="O258" s="61" t="str">
        <f t="shared" ref="O258:O260" si="186">""</f>
        <v/>
      </c>
      <c r="T258" t="s">
        <v>117</v>
      </c>
      <c r="U258" s="65"/>
      <c r="V258" t="str">
        <f t="shared" si="182"/>
        <v/>
      </c>
      <c r="W258" s="61" t="str">
        <f t="shared" ref="W258:W260" si="187">""</f>
        <v/>
      </c>
      <c r="AB258" t="s">
        <v>117</v>
      </c>
      <c r="AC258" s="65"/>
    </row>
    <row r="259" ht="14.55" spans="1:29">
      <c r="A259" s="69" t="str">
        <f t="shared" si="183"/>
        <v/>
      </c>
      <c r="C259" s="49" t="str">
        <f>CONCATENATE("&lt;!-- ",CONCATENATE(B254," ",B255," fin")," --&gt;")</f>
        <v>&lt;!--   fin --&gt;</v>
      </c>
      <c r="D259" s="70"/>
      <c r="E259" s="71"/>
      <c r="F259" t="str">
        <f t="shared" si="181"/>
        <v/>
      </c>
      <c r="G259" s="72" t="str">
        <f t="shared" si="185"/>
        <v/>
      </c>
      <c r="H259" s="49"/>
      <c r="I259" s="49"/>
      <c r="J259" s="49"/>
      <c r="K259" s="49"/>
      <c r="L259" s="49" t="str">
        <f>CONCATENATE("&lt;!-- ",CONCATENATE(J254," ",J255," fin")," --&gt;")</f>
        <v>&lt;!--   fin --&gt;</v>
      </c>
      <c r="M259" s="73"/>
      <c r="N259" t="str">
        <f t="shared" si="184"/>
        <v/>
      </c>
      <c r="O259" s="72" t="str">
        <f t="shared" si="186"/>
        <v/>
      </c>
      <c r="P259" s="49"/>
      <c r="Q259" s="49"/>
      <c r="R259" s="49"/>
      <c r="S259" s="49"/>
      <c r="T259" s="49" t="str">
        <f>CONCATENATE("&lt;!-- ",R254," fin --&gt;")</f>
        <v>&lt;!--  fin --&gt;</v>
      </c>
      <c r="U259" s="73"/>
      <c r="V259" t="str">
        <f t="shared" si="182"/>
        <v/>
      </c>
      <c r="W259" s="72" t="str">
        <f t="shared" si="187"/>
        <v/>
      </c>
      <c r="X259" s="49"/>
      <c r="Y259" s="49"/>
      <c r="Z259" s="49"/>
      <c r="AA259" s="49"/>
      <c r="AB259" s="49" t="str">
        <f>CONCATENATE("&lt;!-- ",Z254," fin --&gt;")</f>
        <v>&lt;!--  fin --&gt;</v>
      </c>
      <c r="AC259" s="73"/>
    </row>
    <row r="260" ht="14.55" spans="1:29">
      <c r="A260" s="74" t="str">
        <f t="shared" si="183"/>
        <v/>
      </c>
      <c r="B260" s="52"/>
      <c r="C260" s="49" t="str">
        <f>""</f>
        <v/>
      </c>
      <c r="D260" s="49"/>
      <c r="E260" s="49"/>
      <c r="F260" t="str">
        <f t="shared" si="181"/>
        <v/>
      </c>
      <c r="G260" s="61" t="str">
        <f t="shared" si="185"/>
        <v/>
      </c>
      <c r="H260" s="75"/>
      <c r="I260" s="75"/>
      <c r="J260" s="52"/>
      <c r="K260" s="55"/>
      <c r="L260" s="49" t="str">
        <f>""</f>
        <v/>
      </c>
      <c r="N260" t="str">
        <f t="shared" si="184"/>
        <v/>
      </c>
      <c r="O260" s="54" t="str">
        <f t="shared" si="186"/>
        <v/>
      </c>
      <c r="P260" s="55"/>
      <c r="Q260" s="55"/>
      <c r="R260" s="52"/>
      <c r="S260" s="55"/>
      <c r="T260" s="49" t="str">
        <f>""</f>
        <v/>
      </c>
      <c r="V260" t="str">
        <f t="shared" si="182"/>
        <v/>
      </c>
      <c r="W260" s="54" t="str">
        <f t="shared" si="187"/>
        <v/>
      </c>
      <c r="X260" s="55"/>
      <c r="Y260" s="55"/>
      <c r="Z260" s="52"/>
      <c r="AA260" s="55"/>
      <c r="AB260" s="49" t="str">
        <f>""</f>
        <v/>
      </c>
    </row>
    <row r="261" spans="1:29">
      <c r="A261" s="50" t="str">
        <f>CONCATENATE("Título ",A263)</f>
        <v>Título 38</v>
      </c>
      <c r="B261" s="57"/>
      <c r="C261" s="51" t="str">
        <f>CONCATENATE("&lt;!-- ",CONCATENATE(B261," ",B262)," --&gt;")</f>
        <v>&lt;!--   --&gt;</v>
      </c>
      <c r="D261" s="52"/>
      <c r="E261" s="53" t="str">
        <f>""</f>
        <v/>
      </c>
      <c r="F261" t="str">
        <f t="shared" si="181"/>
        <v/>
      </c>
      <c r="G261" s="54" t="str">
        <f>CONCATENATE("Título ",G263)</f>
        <v>Título 38</v>
      </c>
      <c r="H261" s="55"/>
      <c r="I261" s="55"/>
      <c r="J261" s="57"/>
      <c r="K261" s="55" t="s">
        <v>2</v>
      </c>
      <c r="L261" s="51" t="str">
        <f>CONCATENATE("&lt;!-- ",CONCATENATE(J261," ",J262)," --&gt;")</f>
        <v>&lt;!--   --&gt;</v>
      </c>
      <c r="M261" s="56"/>
      <c r="N261" t="str">
        <f t="shared" si="184"/>
        <v/>
      </c>
      <c r="O261" s="54" t="str">
        <f>G261</f>
        <v>Título 38</v>
      </c>
      <c r="P261" s="55"/>
      <c r="Q261" s="55"/>
      <c r="R261" s="57"/>
      <c r="S261" s="55"/>
      <c r="T261" s="55" t="str">
        <f>CONCATENATE("&lt;!-- ",R261," --&gt;")</f>
        <v>&lt;!--  --&gt;</v>
      </c>
      <c r="U261" s="56"/>
      <c r="V261" t="str">
        <f t="shared" si="182"/>
        <v/>
      </c>
      <c r="W261" s="54" t="str">
        <f>O261</f>
        <v>Título 38</v>
      </c>
      <c r="X261" s="55"/>
      <c r="Y261" s="55"/>
      <c r="Z261" s="57"/>
      <c r="AA261" s="55"/>
      <c r="AB261" s="55" t="str">
        <f>CONCATENATE("&lt;!-- ",Z261," --&gt;")</f>
        <v>&lt;!--  --&gt;</v>
      </c>
      <c r="AC261" s="56"/>
    </row>
    <row r="262" ht="14.4" spans="1:29">
      <c r="A262" s="58" t="s">
        <v>186</v>
      </c>
      <c r="C262" t="str">
        <f>IF(B263&lt;&gt;"",CONCATENATE("&lt;div id=",Comilla,B264,Comilla,"&gt;"),"")</f>
        <v/>
      </c>
      <c r="D262" s="59"/>
      <c r="E262" s="60" t="str">
        <f>CONCATENATE(" &lt;a href=",Comilla,"#",B264,Comilla," class=",Comilla,"submenu-item",Comilla,"&gt;",B261,"&lt;/a&gt;")</f>
        <v> &lt;a href="#" class="submenu-item"&gt;&lt;/a&gt;</v>
      </c>
      <c r="F262" t="str">
        <f t="shared" si="181"/>
        <v/>
      </c>
      <c r="G262" s="61" t="s">
        <v>186</v>
      </c>
      <c r="H262" s="62" t="s">
        <v>187</v>
      </c>
      <c r="I262" s="63" t="s">
        <v>188</v>
      </c>
      <c r="J262" s="64"/>
      <c r="L262" t="str">
        <f>IF(J261&lt;&gt;"","&lt;div&gt;","")</f>
        <v/>
      </c>
      <c r="M262" s="65"/>
      <c r="N262" t="str">
        <f t="shared" si="184"/>
        <v/>
      </c>
      <c r="O262" s="61" t="s">
        <v>186</v>
      </c>
      <c r="P262" s="62" t="s">
        <v>187</v>
      </c>
      <c r="Q262" s="63" t="s">
        <v>188</v>
      </c>
      <c r="T262" t="str">
        <f>CONCATENATE(P262,R262,Q262)</f>
        <v>&lt;div &gt;</v>
      </c>
      <c r="U262" s="65"/>
      <c r="V262" t="str">
        <f t="shared" si="182"/>
        <v/>
      </c>
      <c r="W262" s="61" t="s">
        <v>186</v>
      </c>
      <c r="X262" s="62" t="s">
        <v>187</v>
      </c>
      <c r="Y262" s="63" t="s">
        <v>188</v>
      </c>
      <c r="AB262" t="str">
        <f>CONCATENATE(X262,Z262,Y262)</f>
        <v>&lt;div &gt;</v>
      </c>
      <c r="AC262" s="65"/>
    </row>
    <row r="263" spans="1:29">
      <c r="A263" s="66">
        <f>A256+1</f>
        <v>38</v>
      </c>
      <c r="B263" s="67" t="str">
        <f>IF(B261="","",SUBSTITUTE(SUBSTITUTE(SUBSTITUTE(SUBSTITUTE(SUBSTITUTE(SUBSTITUTE(SUBSTITUTE(SUBSTITUTE(LOWER(CONCATENATE(B261," ",B262))," ","-"),"&lt;",""),"&gt;",""),"ó","o"),"?",""),"¿",""),"é","e"),"á","a"))</f>
        <v/>
      </c>
      <c r="C263" s="68" t="str">
        <f>CONCATENATE("&lt;h3&gt;",SUBSTITUTE(CONCATENATE(B261," ",B262),"&lt;","&amp;lt;"),"&lt;/h3&gt;")</f>
        <v>&lt;h3&gt; &lt;/h3&gt;</v>
      </c>
      <c r="D263" s="59"/>
      <c r="E263" s="60"/>
      <c r="F263" t="str">
        <f t="shared" si="181"/>
        <v/>
      </c>
      <c r="G263" s="61">
        <f>G256+1</f>
        <v>38</v>
      </c>
      <c r="J263" s="59"/>
      <c r="K263" s="59"/>
      <c r="L263" s="68" t="str">
        <f>CONCATENATE("&lt;h4&gt;",SUBSTITUTE(CONCATENATE(J261," ",J262),"&lt;","&amp;lt;"),"&lt;/h4&gt;")</f>
        <v>&lt;h4&gt; &lt;/h4&gt;</v>
      </c>
      <c r="M263" s="65"/>
      <c r="N263" t="str">
        <f t="shared" si="184"/>
        <v/>
      </c>
      <c r="O263" s="61">
        <f>O256+1</f>
        <v>38</v>
      </c>
      <c r="T263" t="str">
        <f>CONCATENATE("&lt;h5&gt;",R261,"&lt;/h5&gt;")</f>
        <v>&lt;h5&gt;&lt;/h5&gt;</v>
      </c>
      <c r="U263" s="65"/>
      <c r="V263" t="str">
        <f t="shared" si="182"/>
        <v/>
      </c>
      <c r="W263" s="61">
        <f>W256+1</f>
        <v>38</v>
      </c>
      <c r="AB263" t="str">
        <f>CONCATENATE("&lt;",$Y$1,"&gt;",Z261,"&lt;/",$Y$1,"&gt;")</f>
        <v>&lt;h6&gt;&lt;/h6&gt;</v>
      </c>
      <c r="AC263" s="65"/>
    </row>
    <row r="264" spans="1:29">
      <c r="A264" s="58" t="str">
        <f t="shared" ref="A264:A267" si="188">""</f>
        <v/>
      </c>
      <c r="B264" s="67" t="str">
        <f>IF(B263&lt;&gt;"",IF(B262="",LEFT(B263,LEN(B263)-1),B263),"")</f>
        <v/>
      </c>
      <c r="D264" s="59"/>
      <c r="E264" s="60"/>
      <c r="G264" s="61" t="s">
        <v>189</v>
      </c>
      <c r="J264" s="64"/>
      <c r="K264" t="s">
        <v>2</v>
      </c>
      <c r="L264" t="str">
        <f>IF(J264&lt;&gt;"",CONCATENATE("&lt;p&gt;",J264,"&lt;/p&gt;"),"")</f>
        <v/>
      </c>
      <c r="M264" s="65"/>
      <c r="N264" t="str">
        <f t="shared" si="184"/>
        <v/>
      </c>
      <c r="O264" s="61" t="s">
        <v>189</v>
      </c>
      <c r="R264" s="64"/>
      <c r="S264" t="s">
        <v>2</v>
      </c>
      <c r="T264" t="str">
        <f>IF(R264&lt;&gt;"",R264,"")</f>
        <v/>
      </c>
      <c r="U264" s="65"/>
      <c r="W264" s="61" t="s">
        <v>189</v>
      </c>
      <c r="Z264" s="64"/>
      <c r="AA264" t="s">
        <v>2</v>
      </c>
      <c r="AB264" t="str">
        <f>IF(Z264&lt;&gt;"",Z264,"")</f>
        <v/>
      </c>
      <c r="AC264" s="65"/>
    </row>
    <row r="265" spans="1:29">
      <c r="A265" s="58" t="s">
        <v>189</v>
      </c>
      <c r="B265" s="64"/>
      <c r="C265" t="s">
        <v>117</v>
      </c>
      <c r="D265" s="59"/>
      <c r="E265" s="60"/>
      <c r="G265" s="61" t="str">
        <f t="shared" ref="G265:G267" si="189">""</f>
        <v/>
      </c>
      <c r="L265" t="s">
        <v>117</v>
      </c>
      <c r="M265" s="65"/>
      <c r="O265" s="61" t="str">
        <f t="shared" ref="O265:O267" si="190">""</f>
        <v/>
      </c>
      <c r="T265" t="s">
        <v>117</v>
      </c>
      <c r="U265" s="65"/>
      <c r="W265" s="61" t="str">
        <f t="shared" ref="W265:W267" si="191">""</f>
        <v/>
      </c>
      <c r="AB265" t="s">
        <v>117</v>
      </c>
      <c r="AC265" s="65"/>
    </row>
    <row r="266" ht="14.55" spans="1:29">
      <c r="A266" s="69" t="str">
        <f t="shared" si="188"/>
        <v/>
      </c>
      <c r="C266" s="49" t="str">
        <f>CONCATENATE("&lt;!-- ",CONCATENATE(B261," ",B262," fin")," --&gt;")</f>
        <v>&lt;!--   fin --&gt;</v>
      </c>
      <c r="D266" s="70"/>
      <c r="E266" s="71"/>
      <c r="G266" s="72" t="str">
        <f t="shared" si="189"/>
        <v/>
      </c>
      <c r="H266" s="49"/>
      <c r="I266" s="49"/>
      <c r="J266" s="49"/>
      <c r="K266" s="49"/>
      <c r="L266" s="49" t="str">
        <f>CONCATENATE("&lt;!-- ",CONCATENATE(J261," ",J262," fin")," --&gt;")</f>
        <v>&lt;!--   fin --&gt;</v>
      </c>
      <c r="M266" s="73"/>
      <c r="O266" s="72" t="str">
        <f t="shared" si="190"/>
        <v/>
      </c>
      <c r="P266" s="49"/>
      <c r="Q266" s="49"/>
      <c r="R266" s="49"/>
      <c r="S266" s="49"/>
      <c r="T266" s="49" t="str">
        <f>CONCATENATE("&lt;!-- ",R261," fin --&gt;")</f>
        <v>&lt;!--  fin --&gt;</v>
      </c>
      <c r="U266" s="73"/>
      <c r="W266" s="72" t="str">
        <f t="shared" si="191"/>
        <v/>
      </c>
      <c r="X266" s="49"/>
      <c r="Y266" s="49"/>
      <c r="Z266" s="49"/>
      <c r="AA266" s="49"/>
      <c r="AB266" s="49" t="str">
        <f>CONCATENATE("&lt;!-- ",Z261," fin --&gt;")</f>
        <v>&lt;!--  fin --&gt;</v>
      </c>
      <c r="AC266" s="73"/>
    </row>
    <row r="267" ht="14.55" spans="1:29">
      <c r="A267" s="74" t="str">
        <f t="shared" si="188"/>
        <v/>
      </c>
      <c r="B267" s="52"/>
      <c r="C267" s="49" t="str">
        <f>""</f>
        <v/>
      </c>
      <c r="D267" s="49"/>
      <c r="E267" s="49"/>
      <c r="G267" s="61" t="str">
        <f t="shared" si="189"/>
        <v/>
      </c>
      <c r="H267" s="75"/>
      <c r="I267" s="75"/>
      <c r="J267" s="52"/>
      <c r="K267" s="55"/>
      <c r="L267" s="49" t="str">
        <f>""</f>
        <v/>
      </c>
      <c r="O267" s="54" t="str">
        <f t="shared" si="190"/>
        <v/>
      </c>
      <c r="P267" s="55"/>
      <c r="Q267" s="55"/>
      <c r="R267" s="52"/>
      <c r="S267" s="55"/>
      <c r="T267" s="49" t="str">
        <f>""</f>
        <v/>
      </c>
      <c r="W267" s="54" t="str">
        <f t="shared" si="191"/>
        <v/>
      </c>
      <c r="X267" s="55"/>
      <c r="Y267" s="55"/>
      <c r="Z267" s="52"/>
      <c r="AA267" s="55"/>
      <c r="AB267" s="49" t="str">
        <f>""</f>
        <v/>
      </c>
    </row>
    <row r="268" spans="1:29">
      <c r="A268" s="50" t="str">
        <f>CONCATENATE("Título ",A270)</f>
        <v>Título 39</v>
      </c>
      <c r="B268" s="57"/>
      <c r="C268" s="51" t="str">
        <f>CONCATENATE("&lt;!-- ",CONCATENATE(B268," ",B269)," --&gt;")</f>
        <v>&lt;!--   --&gt;</v>
      </c>
      <c r="D268" s="52"/>
      <c r="E268" s="53" t="str">
        <f>""</f>
        <v/>
      </c>
      <c r="G268" s="54" t="str">
        <f>CONCATENATE("Título ",G270)</f>
        <v>Título 39</v>
      </c>
      <c r="H268" s="55"/>
      <c r="I268" s="55"/>
      <c r="J268" s="57"/>
      <c r="K268" s="55" t="s">
        <v>2</v>
      </c>
      <c r="L268" s="51" t="str">
        <f>CONCATENATE("&lt;!-- ",CONCATENATE(J268," ",J269)," --&gt;")</f>
        <v>&lt;!--   --&gt;</v>
      </c>
      <c r="M268" s="56"/>
      <c r="O268" s="54" t="str">
        <f>G268</f>
        <v>Título 39</v>
      </c>
      <c r="P268" s="55"/>
      <c r="Q268" s="55"/>
      <c r="R268" s="57"/>
      <c r="S268" s="55"/>
      <c r="T268" s="55" t="str">
        <f>CONCATENATE("&lt;!-- ",R268," --&gt;")</f>
        <v>&lt;!--  --&gt;</v>
      </c>
      <c r="U268" s="56"/>
      <c r="W268" s="54" t="str">
        <f>O268</f>
        <v>Título 39</v>
      </c>
      <c r="X268" s="55"/>
      <c r="Y268" s="55"/>
      <c r="Z268" s="57"/>
      <c r="AA268" s="55"/>
      <c r="AB268" s="55" t="str">
        <f>CONCATENATE("&lt;!-- ",Z268," --&gt;")</f>
        <v>&lt;!--  --&gt;</v>
      </c>
      <c r="AC268" s="56"/>
    </row>
    <row r="269" ht="14.4" spans="1:29">
      <c r="A269" s="58" t="s">
        <v>186</v>
      </c>
      <c r="C269" t="str">
        <f>IF(B270&lt;&gt;"",CONCATENATE("&lt;div id=",Comilla,B271,Comilla,"&gt;"),"")</f>
        <v/>
      </c>
      <c r="D269" s="59"/>
      <c r="E269" s="60" t="str">
        <f>CONCATENATE(" &lt;a href=",Comilla,"#",B271,Comilla," class=",Comilla,"submenu-item",Comilla,"&gt;",B268,"&lt;/a&gt;")</f>
        <v> &lt;a href="#" class="submenu-item"&gt;&lt;/a&gt;</v>
      </c>
      <c r="G269" s="61" t="s">
        <v>186</v>
      </c>
      <c r="H269" s="62" t="s">
        <v>187</v>
      </c>
      <c r="I269" s="63" t="s">
        <v>188</v>
      </c>
      <c r="J269" s="64"/>
      <c r="L269" t="str">
        <f>IF(J268&lt;&gt;"","&lt;div&gt;","")</f>
        <v/>
      </c>
      <c r="M269" s="65"/>
      <c r="O269" s="61" t="s">
        <v>186</v>
      </c>
      <c r="P269" s="62" t="s">
        <v>187</v>
      </c>
      <c r="Q269" s="63" t="s">
        <v>188</v>
      </c>
      <c r="T269" t="str">
        <f>CONCATENATE(P269,R269,Q269)</f>
        <v>&lt;div &gt;</v>
      </c>
      <c r="U269" s="65"/>
      <c r="W269" s="61" t="s">
        <v>186</v>
      </c>
      <c r="X269" s="62" t="s">
        <v>187</v>
      </c>
      <c r="Y269" s="63" t="s">
        <v>188</v>
      </c>
      <c r="AB269" t="str">
        <f>CONCATENATE(X269,Z269,Y269)</f>
        <v>&lt;div &gt;</v>
      </c>
      <c r="AC269" s="65"/>
    </row>
    <row r="270" spans="1:29">
      <c r="A270" s="66">
        <f>A263+1</f>
        <v>39</v>
      </c>
      <c r="B270" s="67" t="str">
        <f>IF(B268="","",SUBSTITUTE(SUBSTITUTE(SUBSTITUTE(SUBSTITUTE(SUBSTITUTE(SUBSTITUTE(SUBSTITUTE(SUBSTITUTE(LOWER(CONCATENATE(B268," ",B269))," ","-"),"&lt;",""),"&gt;",""),"ó","o"),"?",""),"¿",""),"é","e"),"á","a"))</f>
        <v/>
      </c>
      <c r="C270" s="68" t="str">
        <f>CONCATENATE("&lt;h3&gt;",SUBSTITUTE(CONCATENATE(B268," ",B269),"&lt;","&amp;lt;"),"&lt;/h3&gt;")</f>
        <v>&lt;h3&gt; &lt;/h3&gt;</v>
      </c>
      <c r="D270" s="59"/>
      <c r="E270" s="60"/>
      <c r="G270" s="61">
        <f>G263+1</f>
        <v>39</v>
      </c>
      <c r="J270" s="59"/>
      <c r="K270" s="59"/>
      <c r="L270" s="68" t="str">
        <f>CONCATENATE("&lt;h4&gt;",SUBSTITUTE(CONCATENATE(J268," ",J269),"&lt;","&amp;lt;"),"&lt;/h4&gt;")</f>
        <v>&lt;h4&gt; &lt;/h4&gt;</v>
      </c>
      <c r="M270" s="65"/>
      <c r="O270" s="61">
        <f>O263+1</f>
        <v>39</v>
      </c>
      <c r="T270" t="str">
        <f>CONCATENATE("&lt;h5&gt;",R268,"&lt;/h5&gt;")</f>
        <v>&lt;h5&gt;&lt;/h5&gt;</v>
      </c>
      <c r="U270" s="65"/>
      <c r="W270" s="61">
        <f>W263+1</f>
        <v>39</v>
      </c>
      <c r="AB270" t="str">
        <f>CONCATENATE("&lt;",$Y$1,"&gt;",Z268,"&lt;/",$Y$1,"&gt;")</f>
        <v>&lt;h6&gt;&lt;/h6&gt;</v>
      </c>
      <c r="AC270" s="65"/>
    </row>
    <row r="271" spans="1:29">
      <c r="A271" s="58" t="str">
        <f t="shared" ref="A271:A274" si="192">""</f>
        <v/>
      </c>
      <c r="B271" s="67" t="str">
        <f>IF(B270&lt;&gt;"",IF(B269="",LEFT(B270,LEN(B270)-1),B270),"")</f>
        <v/>
      </c>
      <c r="D271" s="59"/>
      <c r="E271" s="60"/>
      <c r="G271" s="61" t="s">
        <v>189</v>
      </c>
      <c r="J271" s="64"/>
      <c r="K271" t="s">
        <v>2</v>
      </c>
      <c r="L271" t="str">
        <f>IF(J271&lt;&gt;"",CONCATENATE("&lt;p&gt;",J271,"&lt;/p&gt;"),"")</f>
        <v/>
      </c>
      <c r="M271" s="65"/>
      <c r="O271" s="61" t="s">
        <v>189</v>
      </c>
      <c r="R271" s="64"/>
      <c r="S271" t="s">
        <v>2</v>
      </c>
      <c r="T271" t="str">
        <f>IF(R271&lt;&gt;"",R271,"")</f>
        <v/>
      </c>
      <c r="U271" s="65"/>
      <c r="W271" s="61" t="s">
        <v>189</v>
      </c>
      <c r="Z271" s="64"/>
      <c r="AA271" t="s">
        <v>2</v>
      </c>
      <c r="AB271" t="str">
        <f>IF(Z271&lt;&gt;"",Z271,"")</f>
        <v/>
      </c>
      <c r="AC271" s="65"/>
    </row>
    <row r="272" spans="1:29">
      <c r="A272" s="58" t="s">
        <v>189</v>
      </c>
      <c r="B272" s="64"/>
      <c r="C272" t="s">
        <v>117</v>
      </c>
      <c r="D272" s="59"/>
      <c r="E272" s="60"/>
      <c r="G272" s="61" t="str">
        <f t="shared" ref="G272:G274" si="193">""</f>
        <v/>
      </c>
      <c r="L272" t="s">
        <v>117</v>
      </c>
      <c r="M272" s="65"/>
      <c r="O272" s="61" t="str">
        <f t="shared" ref="O272:O274" si="194">""</f>
        <v/>
      </c>
      <c r="T272" t="s">
        <v>117</v>
      </c>
      <c r="U272" s="65"/>
      <c r="W272" s="61" t="str">
        <f t="shared" ref="W272:W274" si="195">""</f>
        <v/>
      </c>
      <c r="AB272" t="s">
        <v>117</v>
      </c>
      <c r="AC272" s="65"/>
    </row>
    <row r="273" ht="14.55" spans="1:29">
      <c r="A273" s="69" t="str">
        <f t="shared" si="192"/>
        <v/>
      </c>
      <c r="C273" s="49" t="str">
        <f>CONCATENATE("&lt;!-- ",CONCATENATE(B268," ",B269," fin")," --&gt;")</f>
        <v>&lt;!--   fin --&gt;</v>
      </c>
      <c r="D273" s="70"/>
      <c r="E273" s="71"/>
      <c r="G273" s="72" t="str">
        <f t="shared" si="193"/>
        <v/>
      </c>
      <c r="H273" s="49"/>
      <c r="I273" s="49"/>
      <c r="J273" s="49"/>
      <c r="K273" s="49"/>
      <c r="L273" s="49" t="str">
        <f>CONCATENATE("&lt;!-- ",CONCATENATE(J268," ",J269," fin")," --&gt;")</f>
        <v>&lt;!--   fin --&gt;</v>
      </c>
      <c r="M273" s="73"/>
      <c r="O273" s="72" t="str">
        <f t="shared" si="194"/>
        <v/>
      </c>
      <c r="P273" s="49"/>
      <c r="Q273" s="49"/>
      <c r="R273" s="49"/>
      <c r="S273" s="49"/>
      <c r="T273" s="49" t="str">
        <f>CONCATENATE("&lt;!-- ",R268," fin --&gt;")</f>
        <v>&lt;!--  fin --&gt;</v>
      </c>
      <c r="U273" s="73"/>
      <c r="V273" t="str">
        <f t="shared" ref="V273:V279" si="196">""</f>
        <v/>
      </c>
      <c r="W273" s="72" t="str">
        <f t="shared" si="195"/>
        <v/>
      </c>
      <c r="X273" s="49"/>
      <c r="Y273" s="49"/>
      <c r="Z273" s="49"/>
      <c r="AA273" s="49"/>
      <c r="AB273" s="49" t="str">
        <f>CONCATENATE("&lt;!-- ",Z268," fin --&gt;")</f>
        <v>&lt;!--  fin --&gt;</v>
      </c>
      <c r="AC273" s="73"/>
    </row>
    <row r="274" ht="14.55" spans="1:29">
      <c r="A274" s="74" t="str">
        <f t="shared" si="192"/>
        <v/>
      </c>
      <c r="B274" s="52"/>
      <c r="C274" s="49" t="str">
        <f>""</f>
        <v/>
      </c>
      <c r="D274" s="49"/>
      <c r="E274" s="49"/>
      <c r="G274" s="61" t="str">
        <f t="shared" si="193"/>
        <v/>
      </c>
      <c r="H274" s="75"/>
      <c r="I274" s="75"/>
      <c r="J274" s="52"/>
      <c r="K274" s="55"/>
      <c r="L274" s="49" t="str">
        <f>""</f>
        <v/>
      </c>
      <c r="O274" s="54" t="str">
        <f t="shared" si="194"/>
        <v/>
      </c>
      <c r="P274" s="55"/>
      <c r="Q274" s="55"/>
      <c r="R274" s="52"/>
      <c r="S274" s="55"/>
      <c r="T274" s="49" t="str">
        <f>""</f>
        <v/>
      </c>
      <c r="V274" t="str">
        <f t="shared" si="196"/>
        <v/>
      </c>
      <c r="W274" s="54" t="str">
        <f t="shared" si="195"/>
        <v/>
      </c>
      <c r="X274" s="55"/>
      <c r="Y274" s="55"/>
      <c r="Z274" s="52"/>
      <c r="AA274" s="55"/>
      <c r="AB274" s="49" t="str">
        <f>""</f>
        <v/>
      </c>
    </row>
    <row r="275" spans="1:29">
      <c r="A275" s="50" t="str">
        <f>CONCATENATE("Título ",A277)</f>
        <v>Título 40</v>
      </c>
      <c r="B275" s="57"/>
      <c r="C275" s="51" t="str">
        <f>CONCATENATE("&lt;!-- ",CONCATENATE(B275," ",B276)," --&gt;")</f>
        <v>&lt;!--   --&gt;</v>
      </c>
      <c r="D275" s="52"/>
      <c r="E275" s="53" t="str">
        <f>""</f>
        <v/>
      </c>
      <c r="G275" s="54" t="str">
        <f>CONCATENATE("Título ",G277)</f>
        <v>Título 40</v>
      </c>
      <c r="H275" s="55"/>
      <c r="I275" s="55"/>
      <c r="J275" s="57"/>
      <c r="K275" s="55" t="s">
        <v>2</v>
      </c>
      <c r="L275" s="51" t="str">
        <f>CONCATENATE("&lt;!-- ",CONCATENATE(J275," ",J276)," --&gt;")</f>
        <v>&lt;!--   --&gt;</v>
      </c>
      <c r="M275" s="56"/>
      <c r="O275" s="54" t="str">
        <f>G275</f>
        <v>Título 40</v>
      </c>
      <c r="P275" s="55"/>
      <c r="Q275" s="55"/>
      <c r="R275" s="57"/>
      <c r="S275" s="55"/>
      <c r="T275" s="55" t="str">
        <f>CONCATENATE("&lt;!-- ",R275," --&gt;")</f>
        <v>&lt;!--  --&gt;</v>
      </c>
      <c r="U275" s="56"/>
      <c r="V275" t="str">
        <f t="shared" si="196"/>
        <v/>
      </c>
      <c r="W275" s="54" t="str">
        <f>O275</f>
        <v>Título 40</v>
      </c>
      <c r="X275" s="55"/>
      <c r="Y275" s="55"/>
      <c r="Z275" s="57"/>
      <c r="AA275" s="55"/>
      <c r="AB275" s="55" t="str">
        <f>CONCATENATE("&lt;!-- ",Z275," --&gt;")</f>
        <v>&lt;!--  --&gt;</v>
      </c>
      <c r="AC275" s="56"/>
    </row>
    <row r="276" ht="14.4" spans="1:29">
      <c r="A276" s="58" t="s">
        <v>186</v>
      </c>
      <c r="C276" t="str">
        <f>IF(B277&lt;&gt;"",CONCATENATE("&lt;div id=",Comilla,B278,Comilla,"&gt;"),"")</f>
        <v/>
      </c>
      <c r="D276" s="59"/>
      <c r="E276" s="60" t="str">
        <f>CONCATENATE(" &lt;a href=",Comilla,"#",B278,Comilla," class=",Comilla,"submenu-item",Comilla,"&gt;",B275,"&lt;/a&gt;")</f>
        <v> &lt;a href="#" class="submenu-item"&gt;&lt;/a&gt;</v>
      </c>
      <c r="G276" s="61" t="s">
        <v>186</v>
      </c>
      <c r="H276" s="62" t="s">
        <v>187</v>
      </c>
      <c r="I276" s="63" t="s">
        <v>188</v>
      </c>
      <c r="J276" s="64"/>
      <c r="L276" t="str">
        <f>IF(J275&lt;&gt;"","&lt;div&gt;","")</f>
        <v/>
      </c>
      <c r="M276" s="65"/>
      <c r="O276" s="61" t="s">
        <v>186</v>
      </c>
      <c r="P276" s="62" t="s">
        <v>187</v>
      </c>
      <c r="Q276" s="63" t="s">
        <v>188</v>
      </c>
      <c r="T276" t="str">
        <f>CONCATENATE(P276,R276,Q276)</f>
        <v>&lt;div &gt;</v>
      </c>
      <c r="U276" s="65"/>
      <c r="V276" t="str">
        <f t="shared" si="196"/>
        <v/>
      </c>
      <c r="W276" s="61" t="s">
        <v>186</v>
      </c>
      <c r="X276" s="62" t="s">
        <v>187</v>
      </c>
      <c r="Y276" s="63" t="s">
        <v>188</v>
      </c>
      <c r="AB276" t="str">
        <f>CONCATENATE(X276,Z276,Y276)</f>
        <v>&lt;div &gt;</v>
      </c>
      <c r="AC276" s="65"/>
    </row>
    <row r="277" spans="1:29">
      <c r="A277" s="66">
        <f>A270+1</f>
        <v>40</v>
      </c>
      <c r="B277" s="67" t="str">
        <f>IF(B275="","",SUBSTITUTE(SUBSTITUTE(SUBSTITUTE(SUBSTITUTE(SUBSTITUTE(SUBSTITUTE(SUBSTITUTE(SUBSTITUTE(LOWER(CONCATENATE(B275," ",B276))," ","-"),"&lt;",""),"&gt;",""),"ó","o"),"?",""),"¿",""),"é","e"),"á","a"))</f>
        <v/>
      </c>
      <c r="C277" s="68" t="str">
        <f>CONCATENATE("&lt;h3&gt;",SUBSTITUTE(CONCATENATE(B275," ",B276),"&lt;","&amp;lt;"),"&lt;/h3&gt;")</f>
        <v>&lt;h3&gt; &lt;/h3&gt;</v>
      </c>
      <c r="D277" s="59"/>
      <c r="E277" s="60"/>
      <c r="G277" s="61">
        <f>G270+1</f>
        <v>40</v>
      </c>
      <c r="J277" s="59"/>
      <c r="K277" s="59"/>
      <c r="L277" s="68" t="str">
        <f>CONCATENATE("&lt;h4&gt;",SUBSTITUTE(CONCATENATE(J275," ",J276),"&lt;","&amp;lt;"),"&lt;/h4&gt;")</f>
        <v>&lt;h4&gt; &lt;/h4&gt;</v>
      </c>
      <c r="M277" s="65"/>
      <c r="O277" s="61">
        <f>O270+1</f>
        <v>40</v>
      </c>
      <c r="T277" t="str">
        <f>CONCATENATE("&lt;h5&gt;",R275,"&lt;/h5&gt;")</f>
        <v>&lt;h5&gt;&lt;/h5&gt;</v>
      </c>
      <c r="U277" s="65"/>
      <c r="V277" t="str">
        <f t="shared" si="196"/>
        <v/>
      </c>
      <c r="W277" s="61">
        <f>W270+1</f>
        <v>40</v>
      </c>
      <c r="AB277" t="str">
        <f>CONCATENATE("&lt;",$Y$1,"&gt;",Z275,"&lt;/",$Y$1,"&gt;")</f>
        <v>&lt;h6&gt;&lt;/h6&gt;</v>
      </c>
      <c r="AC277" s="65"/>
    </row>
    <row r="278" spans="1:29">
      <c r="A278" s="58" t="str">
        <f t="shared" ref="A278:A281" si="197">""</f>
        <v/>
      </c>
      <c r="B278" s="67" t="str">
        <f>IF(B277&lt;&gt;"",IF(B276="",LEFT(B277,LEN(B277)-1),B277),"")</f>
        <v/>
      </c>
      <c r="D278" s="59"/>
      <c r="E278" s="60"/>
      <c r="G278" s="61" t="s">
        <v>189</v>
      </c>
      <c r="J278" s="64"/>
      <c r="K278" t="s">
        <v>2</v>
      </c>
      <c r="L278" t="str">
        <f>IF(J278&lt;&gt;"",CONCATENATE("&lt;p&gt;",J278,"&lt;/p&gt;"),"")</f>
        <v/>
      </c>
      <c r="M278" s="65"/>
      <c r="O278" s="61" t="s">
        <v>189</v>
      </c>
      <c r="R278" s="64"/>
      <c r="S278" t="s">
        <v>2</v>
      </c>
      <c r="T278" t="str">
        <f>IF(R278&lt;&gt;"",R278,"")</f>
        <v/>
      </c>
      <c r="U278" s="65"/>
      <c r="V278" t="str">
        <f t="shared" si="196"/>
        <v/>
      </c>
      <c r="W278" s="61" t="s">
        <v>189</v>
      </c>
      <c r="Z278" s="64"/>
      <c r="AA278" t="s">
        <v>2</v>
      </c>
      <c r="AB278" t="str">
        <f>IF(Z278&lt;&gt;"",Z278,"")</f>
        <v/>
      </c>
      <c r="AC278" s="65"/>
    </row>
    <row r="279" spans="1:29">
      <c r="A279" s="58" t="s">
        <v>189</v>
      </c>
      <c r="B279" s="64"/>
      <c r="C279" t="s">
        <v>117</v>
      </c>
      <c r="D279" s="59"/>
      <c r="E279" s="60"/>
      <c r="G279" s="61" t="str">
        <f t="shared" ref="G279:G281" si="198">""</f>
        <v/>
      </c>
      <c r="L279" t="s">
        <v>117</v>
      </c>
      <c r="M279" s="65"/>
      <c r="O279" s="61" t="str">
        <f t="shared" ref="O279:O281" si="199">""</f>
        <v/>
      </c>
      <c r="T279" t="s">
        <v>117</v>
      </c>
      <c r="U279" s="65"/>
      <c r="V279" t="str">
        <f t="shared" si="196"/>
        <v/>
      </c>
      <c r="W279" s="61" t="str">
        <f t="shared" ref="W279:W281" si="200">""</f>
        <v/>
      </c>
      <c r="AB279" t="s">
        <v>117</v>
      </c>
      <c r="AC279" s="65"/>
    </row>
    <row r="280" ht="14.55" spans="1:29">
      <c r="A280" s="69" t="str">
        <f t="shared" si="197"/>
        <v/>
      </c>
      <c r="C280" s="49" t="str">
        <f>CONCATENATE("&lt;!-- ",CONCATENATE(B275," ",B276," fin")," --&gt;")</f>
        <v>&lt;!--   fin --&gt;</v>
      </c>
      <c r="D280" s="70"/>
      <c r="E280" s="71"/>
      <c r="G280" s="72" t="str">
        <f t="shared" si="198"/>
        <v/>
      </c>
      <c r="H280" s="49"/>
      <c r="I280" s="49"/>
      <c r="J280" s="49"/>
      <c r="K280" s="49"/>
      <c r="L280" s="49" t="str">
        <f>CONCATENATE("&lt;!-- ",CONCATENATE(J275," ",J276," fin")," --&gt;")</f>
        <v>&lt;!--   fin --&gt;</v>
      </c>
      <c r="M280" s="73"/>
      <c r="O280" s="72" t="str">
        <f t="shared" si="199"/>
        <v/>
      </c>
      <c r="P280" s="49"/>
      <c r="Q280" s="49"/>
      <c r="R280" s="49"/>
      <c r="S280" s="49"/>
      <c r="T280" s="49" t="str">
        <f>CONCATENATE("&lt;!-- ",R275," fin --&gt;")</f>
        <v>&lt;!--  fin --&gt;</v>
      </c>
      <c r="U280" s="73"/>
      <c r="W280" s="72" t="str">
        <f t="shared" si="200"/>
        <v/>
      </c>
      <c r="X280" s="49"/>
      <c r="Y280" s="49"/>
      <c r="Z280" s="49"/>
      <c r="AA280" s="49"/>
      <c r="AB280" s="49" t="str">
        <f>CONCATENATE("&lt;!-- ",Z275," fin --&gt;")</f>
        <v>&lt;!--  fin --&gt;</v>
      </c>
      <c r="AC280" s="73"/>
    </row>
    <row r="281" ht="14.55" spans="1:29">
      <c r="A281" s="74" t="str">
        <f t="shared" si="197"/>
        <v/>
      </c>
      <c r="B281" s="52"/>
      <c r="C281" s="49" t="str">
        <f>""</f>
        <v/>
      </c>
      <c r="D281" s="49"/>
      <c r="E281" s="49"/>
      <c r="G281" s="61" t="str">
        <f t="shared" si="198"/>
        <v/>
      </c>
      <c r="H281" s="75"/>
      <c r="I281" s="75"/>
      <c r="J281" s="52"/>
      <c r="K281" s="55"/>
      <c r="L281" s="49" t="str">
        <f>""</f>
        <v/>
      </c>
      <c r="O281" s="54" t="str">
        <f t="shared" si="199"/>
        <v/>
      </c>
      <c r="P281" s="55"/>
      <c r="Q281" s="55"/>
      <c r="R281" s="52"/>
      <c r="S281" s="55"/>
      <c r="T281" s="49" t="str">
        <f>""</f>
        <v/>
      </c>
      <c r="W281" s="54" t="str">
        <f t="shared" si="200"/>
        <v/>
      </c>
      <c r="X281" s="55"/>
      <c r="Y281" s="55"/>
      <c r="Z281" s="52"/>
      <c r="AA281" s="55"/>
      <c r="AB281" s="49" t="str">
        <f>""</f>
        <v/>
      </c>
    </row>
    <row r="282" spans="1:29">
      <c r="A282" s="50" t="str">
        <f>CONCATENATE("Título ",A284)</f>
        <v>Título 46</v>
      </c>
      <c r="B282" s="57"/>
      <c r="C282" s="51" t="str">
        <f>CONCATENATE("&lt;!-- ",CONCATENATE(B282," ",B283)," --&gt;")</f>
        <v>&lt;!--   --&gt;</v>
      </c>
      <c r="D282" s="52"/>
      <c r="E282" s="53" t="str">
        <f>""</f>
        <v/>
      </c>
      <c r="G282" s="54" t="str">
        <f>CONCATENATE("Título ",G284)</f>
        <v>Título 41</v>
      </c>
      <c r="H282" s="55"/>
      <c r="I282" s="55"/>
      <c r="J282" s="57"/>
      <c r="K282" s="55" t="s">
        <v>2</v>
      </c>
      <c r="L282" s="51" t="str">
        <f>CONCATENATE("&lt;!-- ",CONCATENATE(J282," ",J283)," --&gt;")</f>
        <v>&lt;!--   --&gt;</v>
      </c>
      <c r="M282" s="56"/>
      <c r="O282" s="54" t="str">
        <f>G282</f>
        <v>Título 41</v>
      </c>
      <c r="P282" s="55"/>
      <c r="Q282" s="55"/>
      <c r="R282" s="57"/>
      <c r="S282" s="55"/>
      <c r="T282" s="55" t="str">
        <f>CONCATENATE("&lt;!-- ",R282," --&gt;")</f>
        <v>&lt;!--  --&gt;</v>
      </c>
      <c r="U282" s="56"/>
      <c r="W282" s="54" t="str">
        <f>O282</f>
        <v>Título 41</v>
      </c>
      <c r="X282" s="55"/>
      <c r="Y282" s="55"/>
      <c r="Z282" s="57"/>
      <c r="AA282" s="55"/>
      <c r="AB282" s="55" t="str">
        <f>CONCATENATE("&lt;!-- ",Z282," --&gt;")</f>
        <v>&lt;!--  --&gt;</v>
      </c>
      <c r="AC282" s="56"/>
    </row>
    <row r="283" ht="14.4" spans="1:29">
      <c r="A283" s="58" t="s">
        <v>186</v>
      </c>
      <c r="C283" t="str">
        <f>IF(B284&lt;&gt;"",CONCATENATE("&lt;div id=",Comilla,B285,Comilla,"&gt;"),"")</f>
        <v/>
      </c>
      <c r="D283" s="59"/>
      <c r="E283" s="60" t="str">
        <f>CONCATENATE(" &lt;a href=",Comilla,"#",B285,Comilla," class=",Comilla,"submenu-item",Comilla,"&gt;",B282,"&lt;/a&gt;")</f>
        <v> &lt;a href="#" class="submenu-item"&gt;&lt;/a&gt;</v>
      </c>
      <c r="G283" s="61" t="s">
        <v>186</v>
      </c>
      <c r="H283" s="62" t="s">
        <v>187</v>
      </c>
      <c r="I283" s="63" t="s">
        <v>188</v>
      </c>
      <c r="J283" s="64"/>
      <c r="L283" t="str">
        <f>IF(J282&lt;&gt;"","&lt;div&gt;","")</f>
        <v/>
      </c>
      <c r="M283" s="65"/>
      <c r="O283" s="61" t="s">
        <v>186</v>
      </c>
      <c r="P283" s="62" t="s">
        <v>187</v>
      </c>
      <c r="Q283" s="63" t="s">
        <v>188</v>
      </c>
      <c r="T283" t="str">
        <f>CONCATENATE(P283,R283,Q283)</f>
        <v>&lt;div &gt;</v>
      </c>
      <c r="U283" s="65"/>
      <c r="W283" s="61" t="s">
        <v>186</v>
      </c>
      <c r="X283" s="62" t="s">
        <v>187</v>
      </c>
      <c r="Y283" s="63" t="s">
        <v>188</v>
      </c>
      <c r="AB283" t="str">
        <f>CONCATENATE(X283,Z283,Y283)</f>
        <v>&lt;div &gt;</v>
      </c>
      <c r="AC283" s="65"/>
    </row>
    <row r="284" spans="1:29">
      <c r="A284" s="66">
        <f>A319+1</f>
        <v>46</v>
      </c>
      <c r="B284" s="67" t="str">
        <f>IF(B282="","",SUBSTITUTE(SUBSTITUTE(SUBSTITUTE(SUBSTITUTE(SUBSTITUTE(SUBSTITUTE(SUBSTITUTE(SUBSTITUTE(LOWER(CONCATENATE(B282," ",B283))," ","-"),"&lt;",""),"&gt;",""),"ó","o"),"?",""),"¿",""),"é","e"),"á","a"))</f>
        <v/>
      </c>
      <c r="C284" s="68" t="str">
        <f>CONCATENATE("&lt;h3&gt;",SUBSTITUTE(CONCATENATE(B282," ",B283),"&lt;","&amp;lt;"),"&lt;/h3&gt;")</f>
        <v>&lt;h3&gt; &lt;/h3&gt;</v>
      </c>
      <c r="D284" s="59"/>
      <c r="E284" s="60"/>
      <c r="G284" s="61">
        <f>G277+1</f>
        <v>41</v>
      </c>
      <c r="J284" s="59"/>
      <c r="K284" s="59"/>
      <c r="L284" s="68" t="str">
        <f>CONCATENATE("&lt;h4&gt;",SUBSTITUTE(CONCATENATE(J282," ",J283),"&lt;","&amp;lt;"),"&lt;/h4&gt;")</f>
        <v>&lt;h4&gt; &lt;/h4&gt;</v>
      </c>
      <c r="M284" s="65"/>
      <c r="O284" s="61">
        <f>O277+1</f>
        <v>41</v>
      </c>
      <c r="T284" t="str">
        <f>CONCATENATE("&lt;h5&gt;",R282,"&lt;/h5&gt;")</f>
        <v>&lt;h5&gt;&lt;/h5&gt;</v>
      </c>
      <c r="U284" s="65"/>
      <c r="W284" s="61">
        <f>W277+1</f>
        <v>41</v>
      </c>
      <c r="AB284" t="str">
        <f>CONCATENATE("&lt;",$Y$1,"&gt;",Z282,"&lt;/",$Y$1,"&gt;")</f>
        <v>&lt;h6&gt;&lt;/h6&gt;</v>
      </c>
      <c r="AC284" s="65"/>
    </row>
    <row r="285" spans="1:29">
      <c r="A285" s="58" t="str">
        <f t="shared" ref="A285:A288" si="201">""</f>
        <v/>
      </c>
      <c r="B285" s="67" t="str">
        <f>IF(B284&lt;&gt;"",IF(B283="",LEFT(B284,LEN(B284)-1),B284),"")</f>
        <v/>
      </c>
      <c r="D285" s="59"/>
      <c r="E285" s="60"/>
      <c r="G285" s="61" t="s">
        <v>189</v>
      </c>
      <c r="J285" s="64"/>
      <c r="K285" t="s">
        <v>2</v>
      </c>
      <c r="L285" t="str">
        <f>IF(J285&lt;&gt;"",CONCATENATE("&lt;p&gt;",J285,"&lt;/p&gt;"),"")</f>
        <v/>
      </c>
      <c r="M285" s="65"/>
      <c r="O285" s="61" t="s">
        <v>189</v>
      </c>
      <c r="R285" s="64"/>
      <c r="S285" t="s">
        <v>2</v>
      </c>
      <c r="T285" t="str">
        <f>IF(R285&lt;&gt;"",R285,"")</f>
        <v/>
      </c>
      <c r="U285" s="65"/>
      <c r="W285" s="61" t="s">
        <v>189</v>
      </c>
      <c r="Z285" s="64"/>
      <c r="AA285" t="s">
        <v>2</v>
      </c>
      <c r="AB285" t="str">
        <f>IF(Z285&lt;&gt;"",Z285,"")</f>
        <v/>
      </c>
      <c r="AC285" s="65"/>
    </row>
    <row r="286" spans="1:29">
      <c r="A286" s="58" t="s">
        <v>189</v>
      </c>
      <c r="B286" s="64"/>
      <c r="C286" t="s">
        <v>117</v>
      </c>
      <c r="D286" s="59"/>
      <c r="E286" s="60"/>
      <c r="G286" s="61" t="str">
        <f t="shared" ref="G286:G288" si="202">""</f>
        <v/>
      </c>
      <c r="L286" t="s">
        <v>117</v>
      </c>
      <c r="M286" s="65"/>
      <c r="O286" s="61" t="str">
        <f t="shared" ref="O286:O288" si="203">""</f>
        <v/>
      </c>
      <c r="T286" t="s">
        <v>117</v>
      </c>
      <c r="U286" s="65"/>
      <c r="W286" s="61" t="str">
        <f t="shared" ref="W286:W288" si="204">""</f>
        <v/>
      </c>
      <c r="AB286" t="s">
        <v>117</v>
      </c>
      <c r="AC286" s="65"/>
    </row>
    <row r="287" ht="14.55" spans="1:29">
      <c r="A287" s="69" t="str">
        <f t="shared" si="201"/>
        <v/>
      </c>
      <c r="C287" s="49" t="str">
        <f>CONCATENATE("&lt;!-- ",CONCATENATE(B282," ",B283," fin")," --&gt;")</f>
        <v>&lt;!--   fin --&gt;</v>
      </c>
      <c r="D287" s="70"/>
      <c r="E287" s="71"/>
      <c r="G287" s="72" t="str">
        <f t="shared" si="202"/>
        <v/>
      </c>
      <c r="H287" s="49"/>
      <c r="I287" s="49"/>
      <c r="J287" s="49"/>
      <c r="K287" s="49"/>
      <c r="L287" s="49" t="str">
        <f>CONCATENATE("&lt;!-- ",CONCATENATE(J282," ",J283," fin")," --&gt;")</f>
        <v>&lt;!--   fin --&gt;</v>
      </c>
      <c r="M287" s="73"/>
      <c r="O287" s="72" t="str">
        <f t="shared" si="203"/>
        <v/>
      </c>
      <c r="P287" s="49"/>
      <c r="Q287" s="49"/>
      <c r="R287" s="49"/>
      <c r="S287" s="49"/>
      <c r="T287" s="49" t="str">
        <f>CONCATENATE("&lt;!-- ",R282," fin --&gt;")</f>
        <v>&lt;!--  fin --&gt;</v>
      </c>
      <c r="U287" s="73"/>
      <c r="W287" s="72" t="str">
        <f t="shared" si="204"/>
        <v/>
      </c>
      <c r="X287" s="49"/>
      <c r="Y287" s="49"/>
      <c r="Z287" s="49"/>
      <c r="AA287" s="49"/>
      <c r="AB287" s="49" t="str">
        <f>CONCATENATE("&lt;!-- ",Z282," fin --&gt;")</f>
        <v>&lt;!--  fin --&gt;</v>
      </c>
      <c r="AC287" s="73"/>
    </row>
    <row r="288" ht="14.55" spans="1:29">
      <c r="A288" s="74" t="str">
        <f t="shared" si="201"/>
        <v/>
      </c>
      <c r="B288" s="52"/>
      <c r="C288" s="49" t="str">
        <f>""</f>
        <v/>
      </c>
      <c r="D288" s="49"/>
      <c r="E288" s="49"/>
      <c r="G288" s="61" t="str">
        <f t="shared" si="202"/>
        <v/>
      </c>
      <c r="H288" s="75"/>
      <c r="I288" s="75"/>
      <c r="J288" s="52"/>
      <c r="K288" s="55"/>
      <c r="L288" s="49" t="str">
        <f>""</f>
        <v/>
      </c>
      <c r="O288" s="54" t="str">
        <f t="shared" si="203"/>
        <v/>
      </c>
      <c r="P288" s="55"/>
      <c r="Q288" s="55"/>
      <c r="R288" s="52"/>
      <c r="S288" s="55"/>
      <c r="T288" s="49" t="str">
        <f>""</f>
        <v/>
      </c>
      <c r="W288" s="54" t="str">
        <f t="shared" si="204"/>
        <v/>
      </c>
      <c r="X288" s="55"/>
      <c r="Y288" s="55"/>
      <c r="Z288" s="52"/>
      <c r="AA288" s="55"/>
      <c r="AB288" s="49" t="str">
        <f>""</f>
        <v/>
      </c>
    </row>
    <row r="289" spans="1:29">
      <c r="A289" s="50" t="str">
        <f>CONCATENATE("Título ",A291)</f>
        <v>Título 41</v>
      </c>
      <c r="B289" s="57"/>
      <c r="C289" s="51" t="str">
        <f>CONCATENATE("&lt;!-- ",CONCATENATE(B289," ",B290)," --&gt;")</f>
        <v>&lt;!--   --&gt;</v>
      </c>
      <c r="D289" s="52"/>
      <c r="E289" s="53" t="str">
        <f>""</f>
        <v/>
      </c>
      <c r="G289" s="54" t="str">
        <f>CONCATENATE("Título ",G291)</f>
        <v>Título 42</v>
      </c>
      <c r="H289" s="55"/>
      <c r="I289" s="55"/>
      <c r="J289" s="57"/>
      <c r="K289" s="55" t="s">
        <v>2</v>
      </c>
      <c r="L289" s="51" t="str">
        <f>CONCATENATE("&lt;!-- ",CONCATENATE(J289," ",J290)," --&gt;")</f>
        <v>&lt;!--   --&gt;</v>
      </c>
      <c r="M289" s="56"/>
      <c r="O289" s="54" t="str">
        <f>G289</f>
        <v>Título 42</v>
      </c>
      <c r="P289" s="55"/>
      <c r="Q289" s="55"/>
      <c r="R289" s="57"/>
      <c r="S289" s="55"/>
      <c r="T289" s="55" t="str">
        <f>CONCATENATE("&lt;!-- ",R289," --&gt;")</f>
        <v>&lt;!--  --&gt;</v>
      </c>
      <c r="U289" s="56"/>
      <c r="W289" s="54" t="str">
        <f>O289</f>
        <v>Título 42</v>
      </c>
      <c r="X289" s="55"/>
      <c r="Y289" s="55"/>
      <c r="Z289" s="57"/>
      <c r="AA289" s="55"/>
      <c r="AB289" s="55" t="str">
        <f>CONCATENATE("&lt;!-- ",Z289," --&gt;")</f>
        <v>&lt;!--  --&gt;</v>
      </c>
      <c r="AC289" s="56"/>
    </row>
    <row r="290" ht="14.4" spans="1:29">
      <c r="A290" s="58" t="s">
        <v>186</v>
      </c>
      <c r="C290" t="str">
        <f>IF(B291&lt;&gt;"",CONCATENATE("&lt;div id=",Comilla,B292,Comilla,"&gt;"),"")</f>
        <v/>
      </c>
      <c r="D290" s="59"/>
      <c r="E290" s="60" t="str">
        <f>CONCATENATE(" &lt;a href=",Comilla,"#",B292,Comilla," class=",Comilla,"submenu-item",Comilla,"&gt;",B289,"&lt;/a&gt;")</f>
        <v> &lt;a href="#" class="submenu-item"&gt;&lt;/a&gt;</v>
      </c>
      <c r="G290" s="61" t="s">
        <v>186</v>
      </c>
      <c r="H290" s="62" t="s">
        <v>187</v>
      </c>
      <c r="I290" s="63" t="s">
        <v>188</v>
      </c>
      <c r="J290" s="64"/>
      <c r="L290" t="str">
        <f>IF(J289&lt;&gt;"","&lt;div&gt;","")</f>
        <v/>
      </c>
      <c r="M290" s="65"/>
      <c r="O290" s="61" t="s">
        <v>186</v>
      </c>
      <c r="P290" s="62" t="s">
        <v>187</v>
      </c>
      <c r="Q290" s="63" t="s">
        <v>188</v>
      </c>
      <c r="T290" t="str">
        <f>CONCATENATE(P290,R290,Q290)</f>
        <v>&lt;div &gt;</v>
      </c>
      <c r="U290" s="65"/>
      <c r="W290" s="61" t="s">
        <v>186</v>
      </c>
      <c r="X290" s="62" t="s">
        <v>187</v>
      </c>
      <c r="Y290" s="63" t="s">
        <v>188</v>
      </c>
      <c r="AB290" t="str">
        <f>CONCATENATE(X290,Z290,Y290)</f>
        <v>&lt;div &gt;</v>
      </c>
      <c r="AC290" s="65"/>
    </row>
    <row r="291" spans="1:29">
      <c r="A291" s="66">
        <f>A277+1</f>
        <v>41</v>
      </c>
      <c r="B291" s="67" t="str">
        <f>IF(B289="","",SUBSTITUTE(SUBSTITUTE(SUBSTITUTE(SUBSTITUTE(SUBSTITUTE(SUBSTITUTE(SUBSTITUTE(SUBSTITUTE(LOWER(CONCATENATE(B289," ",B290))," ","-"),"&lt;",""),"&gt;",""),"ó","o"),"?",""),"¿",""),"é","e"),"á","a"))</f>
        <v/>
      </c>
      <c r="C291" s="68" t="str">
        <f>CONCATENATE("&lt;h3&gt;",SUBSTITUTE(CONCATENATE(B289," ",B290),"&lt;","&amp;lt;"),"&lt;/h3&gt;")</f>
        <v>&lt;h3&gt; &lt;/h3&gt;</v>
      </c>
      <c r="D291" s="59"/>
      <c r="E291" s="60"/>
      <c r="G291" s="61">
        <f>G284+1</f>
        <v>42</v>
      </c>
      <c r="J291" s="59"/>
      <c r="K291" s="59"/>
      <c r="L291" s="68" t="str">
        <f>CONCATENATE("&lt;h4&gt;",SUBSTITUTE(CONCATENATE(J289," ",J290),"&lt;","&amp;lt;"),"&lt;/h4&gt;")</f>
        <v>&lt;h4&gt; &lt;/h4&gt;</v>
      </c>
      <c r="M291" s="65"/>
      <c r="O291" s="61">
        <f>O284+1</f>
        <v>42</v>
      </c>
      <c r="T291" t="str">
        <f>CONCATENATE("&lt;h5&gt;",R289,"&lt;/h5&gt;")</f>
        <v>&lt;h5&gt;&lt;/h5&gt;</v>
      </c>
      <c r="U291" s="65"/>
      <c r="W291" s="61">
        <f>W284+1</f>
        <v>42</v>
      </c>
      <c r="AB291" t="str">
        <f>CONCATENATE("&lt;",$Y$1,"&gt;",Z289,"&lt;/",$Y$1,"&gt;")</f>
        <v>&lt;h6&gt;&lt;/h6&gt;</v>
      </c>
      <c r="AC291" s="65"/>
    </row>
    <row r="292" spans="1:29">
      <c r="A292" s="58" t="str">
        <f t="shared" ref="A292:A295" si="205">""</f>
        <v/>
      </c>
      <c r="B292" s="67" t="str">
        <f>IF(B291&lt;&gt;"",IF(B290="",LEFT(B291,LEN(B291)-1),B291),"")</f>
        <v/>
      </c>
      <c r="D292" s="59"/>
      <c r="E292" s="60"/>
      <c r="G292" s="61" t="s">
        <v>189</v>
      </c>
      <c r="J292" s="64"/>
      <c r="K292" t="s">
        <v>2</v>
      </c>
      <c r="L292" t="str">
        <f>IF(J292&lt;&gt;"",CONCATENATE("&lt;p&gt;",J292,"&lt;/p&gt;"),"")</f>
        <v/>
      </c>
      <c r="M292" s="65"/>
      <c r="O292" s="61" t="s">
        <v>189</v>
      </c>
      <c r="R292" s="64"/>
      <c r="S292" t="s">
        <v>2</v>
      </c>
      <c r="T292" t="str">
        <f>IF(R292&lt;&gt;"",R292,"")</f>
        <v/>
      </c>
      <c r="U292" s="65"/>
      <c r="W292" s="61" t="s">
        <v>189</v>
      </c>
      <c r="Z292" s="64"/>
      <c r="AA292" t="s">
        <v>2</v>
      </c>
      <c r="AB292" t="str">
        <f>IF(Z292&lt;&gt;"",Z292,"")</f>
        <v/>
      </c>
      <c r="AC292" s="65"/>
    </row>
    <row r="293" spans="1:29">
      <c r="A293" s="58" t="s">
        <v>189</v>
      </c>
      <c r="B293" s="64"/>
      <c r="C293" t="s">
        <v>117</v>
      </c>
      <c r="D293" s="59"/>
      <c r="E293" s="60"/>
      <c r="G293" s="61" t="str">
        <f t="shared" ref="G293:G295" si="206">""</f>
        <v/>
      </c>
      <c r="L293" t="s">
        <v>117</v>
      </c>
      <c r="M293" s="65"/>
      <c r="O293" s="61" t="str">
        <f t="shared" ref="O293:O295" si="207">""</f>
        <v/>
      </c>
      <c r="T293" t="s">
        <v>117</v>
      </c>
      <c r="U293" s="65"/>
      <c r="W293" s="61" t="str">
        <f t="shared" ref="W293:W295" si="208">""</f>
        <v/>
      </c>
      <c r="AB293" t="s">
        <v>117</v>
      </c>
      <c r="AC293" s="65"/>
    </row>
    <row r="294" ht="14.55" spans="1:29">
      <c r="A294" s="69" t="str">
        <f t="shared" si="205"/>
        <v/>
      </c>
      <c r="C294" s="49" t="str">
        <f>CONCATENATE("&lt;!-- ",CONCATENATE(B289," ",B290," fin")," --&gt;")</f>
        <v>&lt;!--   fin --&gt;</v>
      </c>
      <c r="D294" s="70"/>
      <c r="E294" s="71"/>
      <c r="G294" s="72" t="str">
        <f t="shared" si="206"/>
        <v/>
      </c>
      <c r="H294" s="49"/>
      <c r="I294" s="49"/>
      <c r="J294" s="49"/>
      <c r="K294" s="49"/>
      <c r="L294" s="49" t="str">
        <f>CONCATENATE("&lt;!-- ",CONCATENATE(J289," ",J290," fin")," --&gt;")</f>
        <v>&lt;!--   fin --&gt;</v>
      </c>
      <c r="M294" s="73"/>
      <c r="O294" s="72" t="str">
        <f t="shared" si="207"/>
        <v/>
      </c>
      <c r="P294" s="49"/>
      <c r="Q294" s="49"/>
      <c r="R294" s="49"/>
      <c r="S294" s="49"/>
      <c r="T294" s="49" t="str">
        <f>CONCATENATE("&lt;!-- ",R289," fin --&gt;")</f>
        <v>&lt;!--  fin --&gt;</v>
      </c>
      <c r="U294" s="73"/>
      <c r="W294" s="72" t="str">
        <f t="shared" si="208"/>
        <v/>
      </c>
      <c r="X294" s="49"/>
      <c r="Y294" s="49"/>
      <c r="Z294" s="49"/>
      <c r="AA294" s="49"/>
      <c r="AB294" s="49" t="str">
        <f>CONCATENATE("&lt;!-- ",Z289," fin --&gt;")</f>
        <v>&lt;!--  fin --&gt;</v>
      </c>
      <c r="AC294" s="73"/>
    </row>
    <row r="295" ht="14.55" spans="1:29">
      <c r="A295" s="74" t="str">
        <f t="shared" si="205"/>
        <v/>
      </c>
      <c r="B295" s="52"/>
      <c r="C295" s="49" t="str">
        <f>""</f>
        <v/>
      </c>
      <c r="D295" s="49"/>
      <c r="E295" s="49"/>
      <c r="G295" s="61" t="str">
        <f t="shared" si="206"/>
        <v/>
      </c>
      <c r="H295" s="75"/>
      <c r="I295" s="75"/>
      <c r="J295" s="52"/>
      <c r="K295" s="55"/>
      <c r="L295" s="49" t="str">
        <f>""</f>
        <v/>
      </c>
      <c r="O295" s="54" t="str">
        <f t="shared" si="207"/>
        <v/>
      </c>
      <c r="P295" s="55"/>
      <c r="Q295" s="55"/>
      <c r="R295" s="52"/>
      <c r="S295" s="55"/>
      <c r="T295" s="49" t="str">
        <f>""</f>
        <v/>
      </c>
      <c r="W295" s="54" t="str">
        <f t="shared" si="208"/>
        <v/>
      </c>
      <c r="X295" s="55"/>
      <c r="Y295" s="55"/>
      <c r="Z295" s="52"/>
      <c r="AA295" s="55"/>
      <c r="AB295" s="49" t="str">
        <f>""</f>
        <v/>
      </c>
    </row>
    <row r="296" spans="1:29">
      <c r="A296" s="50" t="str">
        <f>CONCATENATE("Título ",A298)</f>
        <v>Título 42</v>
      </c>
      <c r="B296" s="57"/>
      <c r="C296" s="51" t="str">
        <f>CONCATENATE("&lt;!-- ",CONCATENATE(B296," ",B297)," --&gt;")</f>
        <v>&lt;!--   --&gt;</v>
      </c>
      <c r="D296" s="52"/>
      <c r="E296" s="53" t="str">
        <f>""</f>
        <v/>
      </c>
      <c r="G296" s="54" t="str">
        <f>CONCATENATE("Título ",G298)</f>
        <v>Título 43</v>
      </c>
      <c r="H296" s="55"/>
      <c r="I296" s="55"/>
      <c r="J296" s="57"/>
      <c r="K296" s="55" t="s">
        <v>2</v>
      </c>
      <c r="L296" s="51" t="str">
        <f>CONCATENATE("&lt;!-- ",CONCATENATE(J296," ",J297)," --&gt;")</f>
        <v>&lt;!--   --&gt;</v>
      </c>
      <c r="M296" s="56"/>
      <c r="O296" s="54" t="str">
        <f>G296</f>
        <v>Título 43</v>
      </c>
      <c r="P296" s="55"/>
      <c r="Q296" s="55"/>
      <c r="R296" s="57"/>
      <c r="S296" s="55"/>
      <c r="T296" s="55" t="str">
        <f>CONCATENATE("&lt;!-- ",R296," --&gt;")</f>
        <v>&lt;!--  --&gt;</v>
      </c>
      <c r="U296" s="56"/>
      <c r="W296" s="54" t="str">
        <f>O296</f>
        <v>Título 43</v>
      </c>
      <c r="X296" s="55"/>
      <c r="Y296" s="55"/>
      <c r="Z296" s="57"/>
      <c r="AA296" s="55"/>
      <c r="AB296" s="55" t="str">
        <f>CONCATENATE("&lt;!-- ",Z296," --&gt;")</f>
        <v>&lt;!--  --&gt;</v>
      </c>
      <c r="AC296" s="56"/>
    </row>
    <row r="297" ht="14.4" spans="1:29">
      <c r="A297" s="58" t="s">
        <v>186</v>
      </c>
      <c r="C297" t="str">
        <f>IF(B298&lt;&gt;"",CONCATENATE("&lt;div id=",Comilla,B299,Comilla,"&gt;"),"")</f>
        <v/>
      </c>
      <c r="D297" s="59"/>
      <c r="E297" s="60" t="str">
        <f>CONCATENATE(" &lt;a href=",Comilla,"#",B299,Comilla," class=",Comilla,"submenu-item",Comilla,"&gt;",B296,"&lt;/a&gt;")</f>
        <v> &lt;a href="#" class="submenu-item"&gt;&lt;/a&gt;</v>
      </c>
      <c r="G297" s="61" t="s">
        <v>186</v>
      </c>
      <c r="H297" s="62" t="s">
        <v>187</v>
      </c>
      <c r="I297" s="63" t="s">
        <v>188</v>
      </c>
      <c r="J297" s="64"/>
      <c r="L297" t="str">
        <f>IF(J296&lt;&gt;"","&lt;div&gt;","")</f>
        <v/>
      </c>
      <c r="M297" s="65"/>
      <c r="O297" s="61" t="s">
        <v>186</v>
      </c>
      <c r="P297" s="62" t="s">
        <v>187</v>
      </c>
      <c r="Q297" s="63" t="s">
        <v>188</v>
      </c>
      <c r="T297" t="str">
        <f>CONCATENATE(P297,R297,Q297)</f>
        <v>&lt;div &gt;</v>
      </c>
      <c r="U297" s="65"/>
      <c r="W297" s="61" t="s">
        <v>186</v>
      </c>
      <c r="X297" s="62" t="s">
        <v>187</v>
      </c>
      <c r="Y297" s="63" t="s">
        <v>188</v>
      </c>
      <c r="AB297" t="str">
        <f>CONCATENATE(X297,Z297,Y297)</f>
        <v>&lt;div &gt;</v>
      </c>
      <c r="AC297" s="65"/>
    </row>
    <row r="298" spans="1:29">
      <c r="A298" s="66">
        <f>A291+1</f>
        <v>42</v>
      </c>
      <c r="B298" s="67" t="str">
        <f>IF(B296="","",SUBSTITUTE(SUBSTITUTE(SUBSTITUTE(SUBSTITUTE(SUBSTITUTE(SUBSTITUTE(SUBSTITUTE(SUBSTITUTE(LOWER(CONCATENATE(B296," ",B297))," ","-"),"&lt;",""),"&gt;",""),"ó","o"),"?",""),"¿",""),"é","e"),"á","a"))</f>
        <v/>
      </c>
      <c r="C298" s="68" t="str">
        <f>CONCATENATE("&lt;h3&gt;",SUBSTITUTE(CONCATENATE(B296," ",B297),"&lt;","&amp;lt;"),"&lt;/h3&gt;")</f>
        <v>&lt;h3&gt; &lt;/h3&gt;</v>
      </c>
      <c r="D298" s="59"/>
      <c r="E298" s="60"/>
      <c r="G298" s="61">
        <f>G291+1</f>
        <v>43</v>
      </c>
      <c r="J298" s="59"/>
      <c r="K298" s="59"/>
      <c r="L298" s="68" t="str">
        <f>CONCATENATE("&lt;h4&gt;",SUBSTITUTE(CONCATENATE(J296," ",J297),"&lt;","&amp;lt;"),"&lt;/h4&gt;")</f>
        <v>&lt;h4&gt; &lt;/h4&gt;</v>
      </c>
      <c r="M298" s="65"/>
      <c r="O298" s="61">
        <f>O291+1</f>
        <v>43</v>
      </c>
      <c r="T298" t="str">
        <f>CONCATENATE("&lt;h5&gt;",R296,"&lt;/h5&gt;")</f>
        <v>&lt;h5&gt;&lt;/h5&gt;</v>
      </c>
      <c r="U298" s="65"/>
      <c r="W298" s="61">
        <f>W291+1</f>
        <v>43</v>
      </c>
      <c r="AB298" t="str">
        <f>CONCATENATE("&lt;",$Y$1,"&gt;",Z296,"&lt;/",$Y$1,"&gt;")</f>
        <v>&lt;h6&gt;&lt;/h6&gt;</v>
      </c>
      <c r="AC298" s="65"/>
    </row>
    <row r="299" spans="1:29">
      <c r="A299" s="58" t="str">
        <f t="shared" ref="A299:A302" si="209">""</f>
        <v/>
      </c>
      <c r="B299" s="67" t="str">
        <f>IF(B298&lt;&gt;"",IF(B297="",LEFT(B298,LEN(B298)-1),B298),"")</f>
        <v/>
      </c>
      <c r="D299" s="59"/>
      <c r="E299" s="60"/>
      <c r="G299" s="61" t="s">
        <v>189</v>
      </c>
      <c r="J299" s="64"/>
      <c r="K299" t="s">
        <v>2</v>
      </c>
      <c r="L299" t="str">
        <f>IF(J299&lt;&gt;"",CONCATENATE("&lt;p&gt;",J299,"&lt;/p&gt;"),"")</f>
        <v/>
      </c>
      <c r="M299" s="65"/>
      <c r="O299" s="61" t="s">
        <v>189</v>
      </c>
      <c r="R299" s="64"/>
      <c r="S299" t="s">
        <v>2</v>
      </c>
      <c r="T299" t="str">
        <f>IF(R299&lt;&gt;"",R299,"")</f>
        <v/>
      </c>
      <c r="U299" s="65"/>
      <c r="W299" s="61" t="s">
        <v>189</v>
      </c>
      <c r="Z299" s="64"/>
      <c r="AA299" t="s">
        <v>2</v>
      </c>
      <c r="AB299" t="str">
        <f>IF(Z299&lt;&gt;"",Z299,"")</f>
        <v/>
      </c>
      <c r="AC299" s="65"/>
    </row>
    <row r="300" spans="1:29">
      <c r="A300" s="58" t="s">
        <v>189</v>
      </c>
      <c r="B300" s="64"/>
      <c r="C300" t="s">
        <v>117</v>
      </c>
      <c r="D300" s="59"/>
      <c r="E300" s="60"/>
      <c r="G300" s="61" t="str">
        <f t="shared" ref="G300:G302" si="210">""</f>
        <v/>
      </c>
      <c r="L300" t="s">
        <v>117</v>
      </c>
      <c r="M300" s="65"/>
      <c r="O300" s="61" t="str">
        <f t="shared" ref="O300:O302" si="211">""</f>
        <v/>
      </c>
      <c r="T300" t="s">
        <v>117</v>
      </c>
      <c r="U300" s="65"/>
      <c r="W300" s="61" t="str">
        <f t="shared" ref="W300:W302" si="212">""</f>
        <v/>
      </c>
      <c r="AB300" t="s">
        <v>117</v>
      </c>
      <c r="AC300" s="65"/>
    </row>
    <row r="301" ht="14.55" spans="1:29">
      <c r="A301" s="69" t="str">
        <f t="shared" si="209"/>
        <v/>
      </c>
      <c r="C301" s="49" t="str">
        <f>CONCATENATE("&lt;!-- ",CONCATENATE(B296," ",B297," fin")," --&gt;")</f>
        <v>&lt;!--   fin --&gt;</v>
      </c>
      <c r="D301" s="70"/>
      <c r="E301" s="71"/>
      <c r="G301" s="72" t="str">
        <f t="shared" si="210"/>
        <v/>
      </c>
      <c r="H301" s="49"/>
      <c r="I301" s="49"/>
      <c r="J301" s="49"/>
      <c r="K301" s="49"/>
      <c r="L301" s="49" t="str">
        <f>CONCATENATE("&lt;!-- ",CONCATENATE(J296," ",J297," fin")," --&gt;")</f>
        <v>&lt;!--   fin --&gt;</v>
      </c>
      <c r="M301" s="73"/>
      <c r="O301" s="72" t="str">
        <f t="shared" si="211"/>
        <v/>
      </c>
      <c r="P301" s="49"/>
      <c r="Q301" s="49"/>
      <c r="R301" s="49"/>
      <c r="S301" s="49"/>
      <c r="T301" s="49" t="str">
        <f>CONCATENATE("&lt;!-- ",R296," fin --&gt;")</f>
        <v>&lt;!--  fin --&gt;</v>
      </c>
      <c r="U301" s="73"/>
      <c r="W301" s="72" t="str">
        <f t="shared" si="212"/>
        <v/>
      </c>
      <c r="X301" s="49"/>
      <c r="Y301" s="49"/>
      <c r="Z301" s="49"/>
      <c r="AA301" s="49"/>
      <c r="AB301" s="49" t="str">
        <f>CONCATENATE("&lt;!-- ",Z296," fin --&gt;")</f>
        <v>&lt;!--  fin --&gt;</v>
      </c>
      <c r="AC301" s="73"/>
    </row>
    <row r="302" ht="14.55" spans="1:29">
      <c r="A302" s="74" t="str">
        <f t="shared" si="209"/>
        <v/>
      </c>
      <c r="B302" s="52"/>
      <c r="C302" s="49" t="str">
        <f>""</f>
        <v/>
      </c>
      <c r="D302" s="49"/>
      <c r="E302" s="49"/>
      <c r="G302" s="61" t="str">
        <f t="shared" si="210"/>
        <v/>
      </c>
      <c r="H302" s="75"/>
      <c r="I302" s="75"/>
      <c r="J302" s="52"/>
      <c r="K302" s="55"/>
      <c r="L302" s="49" t="str">
        <f>""</f>
        <v/>
      </c>
      <c r="O302" s="54" t="str">
        <f t="shared" si="211"/>
        <v/>
      </c>
      <c r="P302" s="55"/>
      <c r="Q302" s="55"/>
      <c r="R302" s="52"/>
      <c r="S302" s="55"/>
      <c r="T302" s="49" t="str">
        <f>""</f>
        <v/>
      </c>
      <c r="W302" s="54" t="str">
        <f t="shared" si="212"/>
        <v/>
      </c>
      <c r="X302" s="55"/>
      <c r="Y302" s="55"/>
      <c r="Z302" s="52"/>
      <c r="AA302" s="55"/>
      <c r="AB302" s="49" t="str">
        <f>""</f>
        <v/>
      </c>
    </row>
    <row r="303" spans="1:29">
      <c r="A303" s="50" t="str">
        <f>CONCATENATE("Título ",A305)</f>
        <v>Título 43</v>
      </c>
      <c r="B303" s="57"/>
      <c r="C303" s="51" t="str">
        <f>CONCATENATE("&lt;!-- ",CONCATENATE(B303," ",B304)," --&gt;")</f>
        <v>&lt;!--   --&gt;</v>
      </c>
      <c r="D303" s="52"/>
      <c r="E303" s="53" t="str">
        <f>""</f>
        <v/>
      </c>
      <c r="G303" s="54" t="str">
        <f>CONCATENATE("Título ",G305)</f>
        <v>Título 44</v>
      </c>
      <c r="H303" s="55"/>
      <c r="I303" s="55"/>
      <c r="J303" s="57"/>
      <c r="K303" s="55" t="s">
        <v>2</v>
      </c>
      <c r="L303" s="51" t="str">
        <f>CONCATENATE("&lt;!-- ",CONCATENATE(J303," ",J304)," --&gt;")</f>
        <v>&lt;!--   --&gt;</v>
      </c>
      <c r="M303" s="56"/>
      <c r="O303" s="54" t="str">
        <f>G303</f>
        <v>Título 44</v>
      </c>
      <c r="P303" s="55"/>
      <c r="Q303" s="55"/>
      <c r="R303" s="57"/>
      <c r="S303" s="55"/>
      <c r="T303" s="55" t="str">
        <f>CONCATENATE("&lt;!-- ",R303," --&gt;")</f>
        <v>&lt;!--  --&gt;</v>
      </c>
      <c r="U303" s="56"/>
      <c r="W303" s="54" t="str">
        <f>O303</f>
        <v>Título 44</v>
      </c>
      <c r="X303" s="55"/>
      <c r="Y303" s="55"/>
      <c r="Z303" s="57"/>
      <c r="AA303" s="55"/>
      <c r="AB303" s="55" t="str">
        <f>CONCATENATE("&lt;!-- ",Z303," --&gt;")</f>
        <v>&lt;!--  --&gt;</v>
      </c>
      <c r="AC303" s="56"/>
    </row>
    <row r="304" ht="14.4" spans="1:29">
      <c r="A304" s="58" t="s">
        <v>186</v>
      </c>
      <c r="C304" t="str">
        <f>IF(B305&lt;&gt;"",CONCATENATE("&lt;div id=",Comilla,B306,Comilla,"&gt;"),"")</f>
        <v/>
      </c>
      <c r="D304" s="59"/>
      <c r="E304" s="60" t="str">
        <f>CONCATENATE(" &lt;a href=",Comilla,"#",B306,Comilla," class=",Comilla,"submenu-item",Comilla,"&gt;",B303,"&lt;/a&gt;")</f>
        <v> &lt;a href="#" class="submenu-item"&gt;&lt;/a&gt;</v>
      </c>
      <c r="G304" s="61" t="s">
        <v>186</v>
      </c>
      <c r="H304" s="62" t="s">
        <v>187</v>
      </c>
      <c r="I304" s="63" t="s">
        <v>188</v>
      </c>
      <c r="J304" s="64"/>
      <c r="L304" t="str">
        <f>IF(J303&lt;&gt;"","&lt;div&gt;","")</f>
        <v/>
      </c>
      <c r="M304" s="65"/>
      <c r="O304" s="61" t="s">
        <v>186</v>
      </c>
      <c r="P304" s="62" t="s">
        <v>187</v>
      </c>
      <c r="Q304" s="63" t="s">
        <v>188</v>
      </c>
      <c r="T304" t="str">
        <f>CONCATENATE(P304,R304,Q304)</f>
        <v>&lt;div &gt;</v>
      </c>
      <c r="U304" s="65"/>
      <c r="W304" s="61" t="s">
        <v>186</v>
      </c>
      <c r="X304" s="62" t="s">
        <v>187</v>
      </c>
      <c r="Y304" s="63" t="s">
        <v>188</v>
      </c>
      <c r="AB304" t="str">
        <f>CONCATENATE(X304,Z304,Y304)</f>
        <v>&lt;div &gt;</v>
      </c>
      <c r="AC304" s="65"/>
    </row>
    <row r="305" spans="1:29">
      <c r="A305" s="66">
        <f>A298+1</f>
        <v>43</v>
      </c>
      <c r="B305" s="67" t="str">
        <f>IF(B303="","",SUBSTITUTE(SUBSTITUTE(SUBSTITUTE(SUBSTITUTE(SUBSTITUTE(SUBSTITUTE(SUBSTITUTE(SUBSTITUTE(LOWER(CONCATENATE(B303," ",B304))," ","-"),"&lt;",""),"&gt;",""),"ó","o"),"?",""),"¿",""),"é","e"),"á","a"))</f>
        <v/>
      </c>
      <c r="C305" s="68" t="str">
        <f>CONCATENATE("&lt;h3&gt;",SUBSTITUTE(CONCATENATE(B303," ",B304),"&lt;","&amp;lt;"),"&lt;/h3&gt;")</f>
        <v>&lt;h3&gt; &lt;/h3&gt;</v>
      </c>
      <c r="D305" s="59"/>
      <c r="E305" s="60"/>
      <c r="G305" s="61">
        <f>G298+1</f>
        <v>44</v>
      </c>
      <c r="J305" s="59"/>
      <c r="K305" s="59"/>
      <c r="L305" s="68" t="str">
        <f>CONCATENATE("&lt;h4&gt;",SUBSTITUTE(CONCATENATE(J303," ",J304),"&lt;","&amp;lt;"),"&lt;/h4&gt;")</f>
        <v>&lt;h4&gt; &lt;/h4&gt;</v>
      </c>
      <c r="M305" s="65"/>
      <c r="O305" s="61">
        <f>O298+1</f>
        <v>44</v>
      </c>
      <c r="T305" t="str">
        <f>CONCATENATE("&lt;h5&gt;",R303,"&lt;/h5&gt;")</f>
        <v>&lt;h5&gt;&lt;/h5&gt;</v>
      </c>
      <c r="U305" s="65"/>
      <c r="W305" s="61">
        <f>W298+1</f>
        <v>44</v>
      </c>
      <c r="AB305" t="str">
        <f>CONCATENATE("&lt;",$Y$1,"&gt;",Z303,"&lt;/",$Y$1,"&gt;")</f>
        <v>&lt;h6&gt;&lt;/h6&gt;</v>
      </c>
      <c r="AC305" s="65"/>
    </row>
    <row r="306" spans="1:29">
      <c r="A306" s="58" t="str">
        <f t="shared" ref="A306:A309" si="213">""</f>
        <v/>
      </c>
      <c r="B306" s="67" t="str">
        <f>IF(B305&lt;&gt;"",IF(B304="",LEFT(B305,LEN(B305)-1),B305),"")</f>
        <v/>
      </c>
      <c r="D306" s="59"/>
      <c r="E306" s="60"/>
      <c r="G306" s="61" t="s">
        <v>189</v>
      </c>
      <c r="J306" s="64"/>
      <c r="K306" t="s">
        <v>2</v>
      </c>
      <c r="L306" t="str">
        <f>IF(J306&lt;&gt;"",CONCATENATE("&lt;p&gt;",J306,"&lt;/p&gt;"),"")</f>
        <v/>
      </c>
      <c r="M306" s="65"/>
      <c r="O306" s="61" t="s">
        <v>189</v>
      </c>
      <c r="R306" s="64"/>
      <c r="S306" t="s">
        <v>2</v>
      </c>
      <c r="T306" t="str">
        <f>IF(R306&lt;&gt;"",R306,"")</f>
        <v/>
      </c>
      <c r="U306" s="65"/>
      <c r="W306" s="61" t="s">
        <v>189</v>
      </c>
      <c r="Z306" s="64"/>
      <c r="AA306" t="s">
        <v>2</v>
      </c>
      <c r="AB306" t="str">
        <f>IF(Z306&lt;&gt;"",Z306,"")</f>
        <v/>
      </c>
      <c r="AC306" s="65"/>
    </row>
    <row r="307" spans="1:29">
      <c r="A307" s="58" t="s">
        <v>189</v>
      </c>
      <c r="B307" s="64"/>
      <c r="C307" t="s">
        <v>117</v>
      </c>
      <c r="D307" s="59"/>
      <c r="E307" s="60"/>
      <c r="G307" s="61" t="str">
        <f t="shared" ref="G307:G309" si="214">""</f>
        <v/>
      </c>
      <c r="L307" t="s">
        <v>117</v>
      </c>
      <c r="M307" s="65"/>
      <c r="O307" s="61" t="str">
        <f t="shared" ref="O307:O309" si="215">""</f>
        <v/>
      </c>
      <c r="T307" t="s">
        <v>117</v>
      </c>
      <c r="U307" s="65"/>
      <c r="W307" s="61" t="str">
        <f t="shared" ref="W307:W309" si="216">""</f>
        <v/>
      </c>
      <c r="AB307" t="s">
        <v>117</v>
      </c>
      <c r="AC307" s="65"/>
    </row>
    <row r="308" ht="14.55" spans="1:29">
      <c r="A308" s="69" t="str">
        <f t="shared" si="213"/>
        <v/>
      </c>
      <c r="C308" s="49" t="str">
        <f>CONCATENATE("&lt;!-- ",CONCATENATE(B303," ",B304," fin")," --&gt;")</f>
        <v>&lt;!--   fin --&gt;</v>
      </c>
      <c r="D308" s="70"/>
      <c r="E308" s="71"/>
      <c r="G308" s="72" t="str">
        <f t="shared" si="214"/>
        <v/>
      </c>
      <c r="H308" s="49"/>
      <c r="I308" s="49"/>
      <c r="J308" s="49"/>
      <c r="K308" s="49"/>
      <c r="L308" s="49" t="str">
        <f>CONCATENATE("&lt;!-- ",CONCATENATE(J303," ",J304," fin")," --&gt;")</f>
        <v>&lt;!--   fin --&gt;</v>
      </c>
      <c r="M308" s="73"/>
      <c r="O308" s="72" t="str">
        <f t="shared" si="215"/>
        <v/>
      </c>
      <c r="P308" s="49"/>
      <c r="Q308" s="49"/>
      <c r="R308" s="49"/>
      <c r="S308" s="49"/>
      <c r="T308" s="49" t="str">
        <f>CONCATENATE("&lt;!-- ",R303," fin --&gt;")</f>
        <v>&lt;!--  fin --&gt;</v>
      </c>
      <c r="U308" s="73"/>
      <c r="W308" s="72" t="str">
        <f t="shared" si="216"/>
        <v/>
      </c>
      <c r="X308" s="49"/>
      <c r="Y308" s="49"/>
      <c r="Z308" s="49"/>
      <c r="AA308" s="49"/>
      <c r="AB308" s="49" t="str">
        <f>CONCATENATE("&lt;!-- ",Z303," fin --&gt;")</f>
        <v>&lt;!--  fin --&gt;</v>
      </c>
      <c r="AC308" s="73"/>
    </row>
    <row r="309" ht="14.55" spans="1:29">
      <c r="A309" s="74" t="str">
        <f t="shared" si="213"/>
        <v/>
      </c>
      <c r="B309" s="52"/>
      <c r="C309" s="49" t="str">
        <f>""</f>
        <v/>
      </c>
      <c r="D309" s="49"/>
      <c r="E309" s="49"/>
      <c r="G309" s="61" t="str">
        <f t="shared" si="214"/>
        <v/>
      </c>
      <c r="H309" s="75"/>
      <c r="I309" s="75"/>
      <c r="J309" s="52"/>
      <c r="K309" s="55"/>
      <c r="L309" s="49" t="str">
        <f>""</f>
        <v/>
      </c>
      <c r="O309" s="54" t="str">
        <f t="shared" si="215"/>
        <v/>
      </c>
      <c r="P309" s="55"/>
      <c r="Q309" s="55"/>
      <c r="R309" s="52"/>
      <c r="S309" s="55"/>
      <c r="T309" s="49" t="str">
        <f>""</f>
        <v/>
      </c>
      <c r="W309" s="54" t="str">
        <f t="shared" si="216"/>
        <v/>
      </c>
      <c r="X309" s="55"/>
      <c r="Y309" s="55"/>
      <c r="Z309" s="52"/>
      <c r="AA309" s="55"/>
      <c r="AB309" s="49" t="str">
        <f>""</f>
        <v/>
      </c>
    </row>
    <row r="310" spans="1:29">
      <c r="A310" s="50" t="str">
        <f>CONCATENATE("Título ",A312)</f>
        <v>Título 44</v>
      </c>
      <c r="B310" s="57"/>
      <c r="C310" s="51" t="str">
        <f>CONCATENATE("&lt;!-- ",CONCATENATE(B310," ",B311)," --&gt;")</f>
        <v>&lt;!--   --&gt;</v>
      </c>
      <c r="D310" s="52"/>
      <c r="E310" s="53" t="str">
        <f>""</f>
        <v/>
      </c>
      <c r="G310" s="54" t="str">
        <f>CONCATENATE("Título ",G312)</f>
        <v>Título 45</v>
      </c>
      <c r="H310" s="55"/>
      <c r="I310" s="55"/>
      <c r="J310" s="57"/>
      <c r="K310" s="55" t="s">
        <v>2</v>
      </c>
      <c r="L310" s="51" t="str">
        <f>CONCATENATE("&lt;!-- ",CONCATENATE(J310," ",J311)," --&gt;")</f>
        <v>&lt;!--   --&gt;</v>
      </c>
      <c r="M310" s="56"/>
      <c r="O310" s="54" t="str">
        <f>G310</f>
        <v>Título 45</v>
      </c>
      <c r="P310" s="55"/>
      <c r="Q310" s="55"/>
      <c r="R310" s="57"/>
      <c r="S310" s="55"/>
      <c r="T310" s="55" t="str">
        <f>CONCATENATE("&lt;!-- ",R310," --&gt;")</f>
        <v>&lt;!--  --&gt;</v>
      </c>
      <c r="U310" s="56"/>
      <c r="W310" s="54" t="str">
        <f>O310</f>
        <v>Título 45</v>
      </c>
      <c r="X310" s="55"/>
      <c r="Y310" s="55"/>
      <c r="Z310" s="57"/>
      <c r="AA310" s="55"/>
      <c r="AB310" s="55" t="str">
        <f>CONCATENATE("&lt;!-- ",Z310," --&gt;")</f>
        <v>&lt;!--  --&gt;</v>
      </c>
      <c r="AC310" s="56"/>
    </row>
    <row r="311" ht="14.4" spans="1:29">
      <c r="A311" s="58" t="s">
        <v>186</v>
      </c>
      <c r="C311" t="str">
        <f>IF(B312&lt;&gt;"",CONCATENATE("&lt;div id=",Comilla,B313,Comilla,"&gt;"),"")</f>
        <v/>
      </c>
      <c r="D311" s="59"/>
      <c r="E311" s="60" t="str">
        <f>CONCATENATE(" &lt;a href=",Comilla,"#",B313,Comilla," class=",Comilla,"submenu-item",Comilla,"&gt;",B310,"&lt;/a&gt;")</f>
        <v> &lt;a href="#" class="submenu-item"&gt;&lt;/a&gt;</v>
      </c>
      <c r="G311" s="61" t="s">
        <v>186</v>
      </c>
      <c r="H311" s="62" t="s">
        <v>187</v>
      </c>
      <c r="I311" s="63" t="s">
        <v>188</v>
      </c>
      <c r="J311" s="64"/>
      <c r="L311" t="str">
        <f>IF(J310&lt;&gt;"","&lt;div&gt;","")</f>
        <v/>
      </c>
      <c r="M311" s="65"/>
      <c r="O311" s="61" t="s">
        <v>186</v>
      </c>
      <c r="P311" s="62" t="s">
        <v>187</v>
      </c>
      <c r="Q311" s="63" t="s">
        <v>188</v>
      </c>
      <c r="T311" t="str">
        <f>CONCATENATE(P311,R311,Q311)</f>
        <v>&lt;div &gt;</v>
      </c>
      <c r="U311" s="65"/>
      <c r="W311" s="61" t="s">
        <v>186</v>
      </c>
      <c r="X311" s="62" t="s">
        <v>187</v>
      </c>
      <c r="Y311" s="63" t="s">
        <v>188</v>
      </c>
      <c r="AB311" t="str">
        <f>CONCATENATE(X311,Z311,Y311)</f>
        <v>&lt;div &gt;</v>
      </c>
      <c r="AC311" s="65"/>
    </row>
    <row r="312" spans="1:29">
      <c r="A312" s="66">
        <f>A305+1</f>
        <v>44</v>
      </c>
      <c r="B312" s="67" t="str">
        <f>IF(B310="","",SUBSTITUTE(SUBSTITUTE(SUBSTITUTE(SUBSTITUTE(SUBSTITUTE(SUBSTITUTE(SUBSTITUTE(SUBSTITUTE(LOWER(CONCATENATE(B310," ",B311))," ","-"),"&lt;",""),"&gt;",""),"ó","o"),"?",""),"¿",""),"é","e"),"á","a"))</f>
        <v/>
      </c>
      <c r="C312" s="68" t="str">
        <f>CONCATENATE("&lt;h3&gt;",SUBSTITUTE(CONCATENATE(B310," ",B311),"&lt;","&amp;lt;"),"&lt;/h3&gt;")</f>
        <v>&lt;h3&gt; &lt;/h3&gt;</v>
      </c>
      <c r="D312" s="59"/>
      <c r="E312" s="60"/>
      <c r="G312" s="61">
        <f>G305+1</f>
        <v>45</v>
      </c>
      <c r="J312" s="59"/>
      <c r="K312" s="59"/>
      <c r="L312" s="68" t="str">
        <f>CONCATENATE("&lt;h4&gt;",SUBSTITUTE(CONCATENATE(J310," ",J311),"&lt;","&amp;lt;"),"&lt;/h4&gt;")</f>
        <v>&lt;h4&gt; &lt;/h4&gt;</v>
      </c>
      <c r="M312" s="65"/>
      <c r="O312" s="61">
        <f>O305+1</f>
        <v>45</v>
      </c>
      <c r="T312" t="str">
        <f>CONCATENATE("&lt;h5&gt;",R310,"&lt;/h5&gt;")</f>
        <v>&lt;h5&gt;&lt;/h5&gt;</v>
      </c>
      <c r="U312" s="65"/>
      <c r="W312" s="61">
        <f>W305+1</f>
        <v>45</v>
      </c>
      <c r="AB312" t="str">
        <f>CONCATENATE("&lt;",$Y$1,"&gt;",Z310,"&lt;/",$Y$1,"&gt;")</f>
        <v>&lt;h6&gt;&lt;/h6&gt;</v>
      </c>
      <c r="AC312" s="65"/>
    </row>
    <row r="313" spans="1:29">
      <c r="A313" s="58" t="str">
        <f t="shared" ref="A313:A316" si="217">""</f>
        <v/>
      </c>
      <c r="B313" s="67" t="str">
        <f>IF(B312&lt;&gt;"",IF(B311="",LEFT(B312,LEN(B312)-1),B312),"")</f>
        <v/>
      </c>
      <c r="D313" s="59"/>
      <c r="E313" s="60"/>
      <c r="G313" s="61" t="s">
        <v>189</v>
      </c>
      <c r="J313" s="64"/>
      <c r="K313" t="s">
        <v>2</v>
      </c>
      <c r="L313" t="str">
        <f>IF(J313&lt;&gt;"",CONCATENATE("&lt;p&gt;",J313,"&lt;/p&gt;"),"")</f>
        <v/>
      </c>
      <c r="M313" s="65"/>
      <c r="O313" s="61" t="s">
        <v>189</v>
      </c>
      <c r="R313" s="64"/>
      <c r="S313" t="s">
        <v>2</v>
      </c>
      <c r="T313" t="str">
        <f>IF(R313&lt;&gt;"",R313,"")</f>
        <v/>
      </c>
      <c r="U313" s="65"/>
      <c r="W313" s="61" t="s">
        <v>189</v>
      </c>
      <c r="Z313" s="64"/>
      <c r="AA313" t="s">
        <v>2</v>
      </c>
      <c r="AB313" t="str">
        <f>IF(Z313&lt;&gt;"",Z313,"")</f>
        <v/>
      </c>
      <c r="AC313" s="65"/>
    </row>
    <row r="314" spans="1:29">
      <c r="A314" s="58" t="s">
        <v>189</v>
      </c>
      <c r="B314" s="64"/>
      <c r="C314" t="s">
        <v>117</v>
      </c>
      <c r="D314" s="59"/>
      <c r="E314" s="60"/>
      <c r="G314" s="61" t="str">
        <f t="shared" ref="G314:G316" si="218">""</f>
        <v/>
      </c>
      <c r="L314" t="s">
        <v>117</v>
      </c>
      <c r="M314" s="65"/>
      <c r="O314" s="61" t="str">
        <f t="shared" ref="O314:O316" si="219">""</f>
        <v/>
      </c>
      <c r="T314" t="s">
        <v>117</v>
      </c>
      <c r="U314" s="65"/>
      <c r="W314" s="61" t="str">
        <f t="shared" ref="W314:W316" si="220">""</f>
        <v/>
      </c>
      <c r="AB314" t="s">
        <v>117</v>
      </c>
      <c r="AC314" s="65"/>
    </row>
    <row r="315" ht="14.55" spans="1:29">
      <c r="A315" s="69" t="str">
        <f t="shared" si="217"/>
        <v/>
      </c>
      <c r="C315" s="49" t="str">
        <f>CONCATENATE("&lt;!-- ",CONCATENATE(B310," ",B311," fin")," --&gt;")</f>
        <v>&lt;!--   fin --&gt;</v>
      </c>
      <c r="D315" s="70"/>
      <c r="E315" s="71"/>
      <c r="G315" s="72" t="str">
        <f t="shared" si="218"/>
        <v/>
      </c>
      <c r="H315" s="49"/>
      <c r="I315" s="49"/>
      <c r="J315" s="49"/>
      <c r="K315" s="49"/>
      <c r="L315" s="49" t="str">
        <f>CONCATENATE("&lt;!-- ",CONCATENATE(J310," ",J311," fin")," --&gt;")</f>
        <v>&lt;!--   fin --&gt;</v>
      </c>
      <c r="M315" s="73"/>
      <c r="O315" s="72" t="str">
        <f t="shared" si="219"/>
        <v/>
      </c>
      <c r="P315" s="49"/>
      <c r="Q315" s="49"/>
      <c r="R315" s="49"/>
      <c r="S315" s="49"/>
      <c r="T315" s="49" t="str">
        <f>CONCATENATE("&lt;!-- ",R310," fin --&gt;")</f>
        <v>&lt;!--  fin --&gt;</v>
      </c>
      <c r="U315" s="73"/>
      <c r="W315" s="72" t="str">
        <f t="shared" si="220"/>
        <v/>
      </c>
      <c r="X315" s="49"/>
      <c r="Y315" s="49"/>
      <c r="Z315" s="49"/>
      <c r="AA315" s="49"/>
      <c r="AB315" s="49" t="str">
        <f>CONCATENATE("&lt;!-- ",Z310," fin --&gt;")</f>
        <v>&lt;!--  fin --&gt;</v>
      </c>
      <c r="AC315" s="73"/>
    </row>
    <row r="316" ht="14.55" spans="1:29">
      <c r="A316" s="74" t="str">
        <f t="shared" si="217"/>
        <v/>
      </c>
      <c r="B316" s="52"/>
      <c r="C316" s="49" t="str">
        <f>""</f>
        <v/>
      </c>
      <c r="D316" s="49"/>
      <c r="E316" s="49"/>
      <c r="G316" s="61" t="str">
        <f t="shared" si="218"/>
        <v/>
      </c>
      <c r="H316" s="75"/>
      <c r="I316" s="75"/>
      <c r="J316" s="52"/>
      <c r="K316" s="55"/>
      <c r="L316" s="49" t="str">
        <f>""</f>
        <v/>
      </c>
      <c r="O316" s="54" t="str">
        <f t="shared" si="219"/>
        <v/>
      </c>
      <c r="P316" s="55"/>
      <c r="Q316" s="55"/>
      <c r="R316" s="52"/>
      <c r="S316" s="55"/>
      <c r="T316" s="49" t="str">
        <f>""</f>
        <v/>
      </c>
      <c r="W316" s="54" t="str">
        <f t="shared" si="220"/>
        <v/>
      </c>
      <c r="X316" s="55"/>
      <c r="Y316" s="55"/>
      <c r="Z316" s="52"/>
      <c r="AA316" s="55"/>
      <c r="AB316" s="49" t="str">
        <f>""</f>
        <v/>
      </c>
    </row>
    <row r="317" spans="1:29">
      <c r="A317" s="50" t="str">
        <f>CONCATENATE("Título ",A319)</f>
        <v>Título 45</v>
      </c>
      <c r="B317" s="57"/>
      <c r="C317" s="51" t="str">
        <f>CONCATENATE("&lt;!-- ",CONCATENATE(B317," ",B318)," --&gt;")</f>
        <v>&lt;!--   --&gt;</v>
      </c>
      <c r="D317" s="52"/>
      <c r="E317" s="53" t="str">
        <f>""</f>
        <v/>
      </c>
      <c r="G317" s="54" t="str">
        <f>CONCATENATE("Título ",G319)</f>
        <v>Título 46</v>
      </c>
      <c r="H317" s="55"/>
      <c r="I317" s="55"/>
      <c r="J317" s="57"/>
      <c r="K317" s="55" t="s">
        <v>2</v>
      </c>
      <c r="L317" s="51" t="str">
        <f>CONCATENATE("&lt;!-- ",CONCATENATE(J317," ",J318)," --&gt;")</f>
        <v>&lt;!--   --&gt;</v>
      </c>
      <c r="M317" s="56"/>
      <c r="O317" s="54" t="str">
        <f>G317</f>
        <v>Título 46</v>
      </c>
      <c r="P317" s="55"/>
      <c r="Q317" s="55"/>
      <c r="R317" s="57"/>
      <c r="S317" s="55"/>
      <c r="T317" s="55" t="str">
        <f>CONCATENATE("&lt;!-- ",R317," --&gt;")</f>
        <v>&lt;!--  --&gt;</v>
      </c>
      <c r="U317" s="56"/>
      <c r="W317" s="54" t="str">
        <f>O317</f>
        <v>Título 46</v>
      </c>
      <c r="X317" s="55"/>
      <c r="Y317" s="55"/>
      <c r="Z317" s="57"/>
      <c r="AA317" s="55"/>
      <c r="AB317" s="55" t="str">
        <f>CONCATENATE("&lt;!-- ",Z317," --&gt;")</f>
        <v>&lt;!--  --&gt;</v>
      </c>
      <c r="AC317" s="56"/>
    </row>
    <row r="318" ht="14.4" spans="1:29">
      <c r="A318" s="58" t="s">
        <v>186</v>
      </c>
      <c r="C318" t="str">
        <f>IF(B319&lt;&gt;"",CONCATENATE("&lt;div id=",Comilla,B320,Comilla,"&gt;"),"")</f>
        <v/>
      </c>
      <c r="D318" s="59"/>
      <c r="E318" s="60" t="str">
        <f>CONCATENATE(" &lt;a href=",Comilla,"#",B320,Comilla," class=",Comilla,"submenu-item",Comilla,"&gt;",B317,"&lt;/a&gt;")</f>
        <v> &lt;a href="#" class="submenu-item"&gt;&lt;/a&gt;</v>
      </c>
      <c r="G318" s="61" t="s">
        <v>186</v>
      </c>
      <c r="H318" s="62" t="s">
        <v>187</v>
      </c>
      <c r="I318" s="63" t="s">
        <v>188</v>
      </c>
      <c r="J318" s="64"/>
      <c r="L318" t="str">
        <f>IF(J317&lt;&gt;"","&lt;div&gt;","")</f>
        <v/>
      </c>
      <c r="M318" s="65"/>
      <c r="O318" s="61" t="s">
        <v>186</v>
      </c>
      <c r="P318" s="62" t="s">
        <v>187</v>
      </c>
      <c r="Q318" s="63" t="s">
        <v>188</v>
      </c>
      <c r="T318" t="str">
        <f>CONCATENATE(P318,R318,Q318)</f>
        <v>&lt;div &gt;</v>
      </c>
      <c r="U318" s="65"/>
      <c r="W318" s="61" t="s">
        <v>186</v>
      </c>
      <c r="X318" s="62" t="s">
        <v>187</v>
      </c>
      <c r="Y318" s="63" t="s">
        <v>188</v>
      </c>
      <c r="AB318" t="str">
        <f>CONCATENATE(X318,Z318,Y318)</f>
        <v>&lt;div &gt;</v>
      </c>
      <c r="AC318" s="65"/>
    </row>
    <row r="319" spans="1:29">
      <c r="A319" s="66">
        <f>A312+1</f>
        <v>45</v>
      </c>
      <c r="B319" s="67" t="str">
        <f>IF(B317="","",SUBSTITUTE(SUBSTITUTE(SUBSTITUTE(SUBSTITUTE(SUBSTITUTE(SUBSTITUTE(SUBSTITUTE(SUBSTITUTE(LOWER(CONCATENATE(B317," ",B318))," ","-"),"&lt;",""),"&gt;",""),"ó","o"),"?",""),"¿",""),"é","e"),"á","a"))</f>
        <v/>
      </c>
      <c r="C319" s="68" t="str">
        <f>CONCATENATE("&lt;h3&gt;",SUBSTITUTE(CONCATENATE(B317," ",B318),"&lt;","&amp;lt;"),"&lt;/h3&gt;")</f>
        <v>&lt;h3&gt; &lt;/h3&gt;</v>
      </c>
      <c r="D319" s="59"/>
      <c r="E319" s="60"/>
      <c r="G319" s="61">
        <f>G312+1</f>
        <v>46</v>
      </c>
      <c r="J319" s="59"/>
      <c r="K319" s="59"/>
      <c r="L319" s="68" t="str">
        <f>CONCATENATE("&lt;h4&gt;",SUBSTITUTE(CONCATENATE(J317," ",J318),"&lt;","&amp;lt;"),"&lt;/h4&gt;")</f>
        <v>&lt;h4&gt; &lt;/h4&gt;</v>
      </c>
      <c r="M319" s="65"/>
      <c r="O319" s="61">
        <f>O312+1</f>
        <v>46</v>
      </c>
      <c r="T319" t="str">
        <f>CONCATENATE("&lt;h5&gt;",R317,"&lt;/h5&gt;")</f>
        <v>&lt;h5&gt;&lt;/h5&gt;</v>
      </c>
      <c r="U319" s="65"/>
      <c r="W319" s="61">
        <f>W312+1</f>
        <v>46</v>
      </c>
      <c r="AB319" t="str">
        <f>CONCATENATE("&lt;",$Y$1,"&gt;",Z317,"&lt;/",$Y$1,"&gt;")</f>
        <v>&lt;h6&gt;&lt;/h6&gt;</v>
      </c>
      <c r="AC319" s="65"/>
    </row>
    <row r="320" spans="1:29">
      <c r="A320" s="58" t="str">
        <f t="shared" ref="A320:A323" si="221">""</f>
        <v/>
      </c>
      <c r="B320" s="67" t="str">
        <f>IF(B319&lt;&gt;"",IF(B318="",LEFT(B319,LEN(B319)-1),B319),"")</f>
        <v/>
      </c>
      <c r="D320" s="59"/>
      <c r="E320" s="60"/>
      <c r="G320" s="61" t="s">
        <v>189</v>
      </c>
      <c r="J320" s="64"/>
      <c r="K320" t="s">
        <v>2</v>
      </c>
      <c r="L320" t="str">
        <f>IF(J320&lt;&gt;"",CONCATENATE("&lt;p&gt;",J320,"&lt;/p&gt;"),"")</f>
        <v/>
      </c>
      <c r="M320" s="65"/>
      <c r="O320" s="61" t="s">
        <v>189</v>
      </c>
      <c r="R320" s="64"/>
      <c r="S320" t="s">
        <v>2</v>
      </c>
      <c r="T320" t="str">
        <f>IF(R320&lt;&gt;"",R320,"")</f>
        <v/>
      </c>
      <c r="U320" s="65"/>
      <c r="W320" s="61" t="s">
        <v>189</v>
      </c>
      <c r="Z320" s="64"/>
      <c r="AA320" t="s">
        <v>2</v>
      </c>
      <c r="AB320" t="str">
        <f>IF(Z320&lt;&gt;"",Z320,"")</f>
        <v/>
      </c>
      <c r="AC320" s="65"/>
    </row>
    <row r="321" spans="1:29">
      <c r="A321" s="58" t="s">
        <v>189</v>
      </c>
      <c r="B321" s="64"/>
      <c r="C321" t="s">
        <v>117</v>
      </c>
      <c r="D321" s="59"/>
      <c r="E321" s="60"/>
      <c r="G321" s="61" t="str">
        <f t="shared" ref="G321:G323" si="222">""</f>
        <v/>
      </c>
      <c r="L321" t="s">
        <v>117</v>
      </c>
      <c r="M321" s="65"/>
      <c r="O321" s="61" t="str">
        <f t="shared" ref="O321:O323" si="223">""</f>
        <v/>
      </c>
      <c r="T321" t="s">
        <v>117</v>
      </c>
      <c r="U321" s="65"/>
      <c r="W321" s="61" t="str">
        <f t="shared" ref="W321:W323" si="224">""</f>
        <v/>
      </c>
      <c r="AB321" t="s">
        <v>117</v>
      </c>
      <c r="AC321" s="65"/>
    </row>
    <row r="322" ht="14.55" spans="1:29">
      <c r="A322" s="69" t="str">
        <f t="shared" si="221"/>
        <v/>
      </c>
      <c r="C322" s="49" t="str">
        <f>CONCATENATE("&lt;!-- ",CONCATENATE(B317," ",B318," fin")," --&gt;")</f>
        <v>&lt;!--   fin --&gt;</v>
      </c>
      <c r="D322" s="70"/>
      <c r="E322" s="71"/>
      <c r="G322" s="72" t="str">
        <f t="shared" si="222"/>
        <v/>
      </c>
      <c r="H322" s="49"/>
      <c r="I322" s="49"/>
      <c r="J322" s="49"/>
      <c r="K322" s="49"/>
      <c r="L322" s="49" t="str">
        <f>CONCATENATE("&lt;!-- ",CONCATENATE(J317," ",J318," fin")," --&gt;")</f>
        <v>&lt;!--   fin --&gt;</v>
      </c>
      <c r="M322" s="73"/>
      <c r="O322" s="72" t="str">
        <f t="shared" si="223"/>
        <v/>
      </c>
      <c r="P322" s="49"/>
      <c r="Q322" s="49"/>
      <c r="R322" s="49"/>
      <c r="S322" s="49"/>
      <c r="T322" s="49" t="str">
        <f>CONCATENATE("&lt;!-- ",R317," fin --&gt;")</f>
        <v>&lt;!--  fin --&gt;</v>
      </c>
      <c r="U322" s="73"/>
      <c r="W322" s="72" t="str">
        <f t="shared" si="224"/>
        <v/>
      </c>
      <c r="X322" s="49"/>
      <c r="Y322" s="49"/>
      <c r="Z322" s="49"/>
      <c r="AA322" s="49"/>
      <c r="AB322" s="49" t="str">
        <f>CONCATENATE("&lt;!-- ",Z317," fin --&gt;")</f>
        <v>&lt;!--  fin --&gt;</v>
      </c>
      <c r="AC322" s="73"/>
    </row>
    <row r="323" ht="14.55" spans="1:29">
      <c r="A323" s="74" t="str">
        <f t="shared" si="221"/>
        <v/>
      </c>
      <c r="B323" s="52"/>
      <c r="C323" s="49" t="str">
        <f>""</f>
        <v/>
      </c>
      <c r="D323" s="49"/>
      <c r="E323" s="49"/>
      <c r="G323" s="61" t="str">
        <f t="shared" si="222"/>
        <v/>
      </c>
      <c r="H323" s="75"/>
      <c r="I323" s="75"/>
      <c r="J323" s="52"/>
      <c r="K323" s="55"/>
      <c r="L323" s="49" t="str">
        <f>""</f>
        <v/>
      </c>
      <c r="O323" s="54" t="str">
        <f t="shared" si="223"/>
        <v/>
      </c>
      <c r="P323" s="55"/>
      <c r="Q323" s="55"/>
      <c r="R323" s="52"/>
      <c r="S323" s="55"/>
      <c r="T323" s="49" t="str">
        <f>""</f>
        <v/>
      </c>
      <c r="W323" s="54" t="str">
        <f t="shared" si="224"/>
        <v/>
      </c>
      <c r="X323" s="55"/>
      <c r="Y323" s="55"/>
      <c r="Z323" s="52"/>
      <c r="AA323" s="55"/>
      <c r="AB323" s="49" t="str">
        <f>""</f>
        <v/>
      </c>
    </row>
    <row r="324" spans="1:29">
      <c r="A324" s="50" t="str">
        <f>CONCATENATE("Título ",A326)</f>
        <v>Título 46</v>
      </c>
      <c r="B324" s="57"/>
      <c r="C324" s="51" t="str">
        <f>CONCATENATE("&lt;!-- ",CONCATENATE(B324," ",B325)," --&gt;")</f>
        <v>&lt;!--   --&gt;</v>
      </c>
      <c r="D324" s="52"/>
      <c r="E324" s="53" t="str">
        <f>""</f>
        <v/>
      </c>
      <c r="G324" s="54" t="str">
        <f>CONCATENATE("Título ",G326)</f>
        <v>Título 47</v>
      </c>
      <c r="H324" s="55"/>
      <c r="I324" s="55"/>
      <c r="J324" s="57"/>
      <c r="K324" s="55" t="s">
        <v>2</v>
      </c>
      <c r="L324" s="51" t="str">
        <f>CONCATENATE("&lt;!-- ",CONCATENATE(J324," ",J325)," --&gt;")</f>
        <v>&lt;!--   --&gt;</v>
      </c>
      <c r="M324" s="56"/>
      <c r="O324" s="54" t="str">
        <f>G324</f>
        <v>Título 47</v>
      </c>
      <c r="P324" s="55"/>
      <c r="Q324" s="55"/>
      <c r="R324" s="57"/>
      <c r="S324" s="55"/>
      <c r="T324" s="55" t="str">
        <f>CONCATENATE("&lt;!-- ",R324," --&gt;")</f>
        <v>&lt;!--  --&gt;</v>
      </c>
      <c r="U324" s="56"/>
      <c r="W324" s="54" t="str">
        <f>O324</f>
        <v>Título 47</v>
      </c>
      <c r="X324" s="55"/>
      <c r="Y324" s="55"/>
      <c r="Z324" s="57"/>
      <c r="AA324" s="55"/>
      <c r="AB324" s="55" t="str">
        <f>CONCATENATE("&lt;!-- ",Z324," --&gt;")</f>
        <v>&lt;!--  --&gt;</v>
      </c>
      <c r="AC324" s="56"/>
    </row>
    <row r="325" ht="14.4" spans="1:29">
      <c r="A325" s="58" t="s">
        <v>186</v>
      </c>
      <c r="C325" t="str">
        <f>IF(B326&lt;&gt;"",CONCATENATE("&lt;div id=",Comilla,B327,Comilla,"&gt;"),"")</f>
        <v/>
      </c>
      <c r="D325" s="59"/>
      <c r="E325" s="60" t="str">
        <f>CONCATENATE(" &lt;a href=",Comilla,"#",B327,Comilla," class=",Comilla,"submenu-item",Comilla,"&gt;",B324,"&lt;/a&gt;")</f>
        <v> &lt;a href="#" class="submenu-item"&gt;&lt;/a&gt;</v>
      </c>
      <c r="G325" s="61" t="s">
        <v>186</v>
      </c>
      <c r="H325" s="62" t="s">
        <v>187</v>
      </c>
      <c r="I325" s="63" t="s">
        <v>188</v>
      </c>
      <c r="J325" s="64"/>
      <c r="L325" t="str">
        <f>IF(J324&lt;&gt;"","&lt;div&gt;","")</f>
        <v/>
      </c>
      <c r="M325" s="65"/>
      <c r="O325" s="61" t="s">
        <v>186</v>
      </c>
      <c r="P325" s="62" t="s">
        <v>187</v>
      </c>
      <c r="Q325" s="63" t="s">
        <v>188</v>
      </c>
      <c r="T325" t="str">
        <f>CONCATENATE(P325,R325,Q325)</f>
        <v>&lt;div &gt;</v>
      </c>
      <c r="U325" s="65"/>
      <c r="W325" s="61" t="s">
        <v>186</v>
      </c>
      <c r="X325" s="62" t="s">
        <v>187</v>
      </c>
      <c r="Y325" s="63" t="s">
        <v>188</v>
      </c>
      <c r="AB325" t="str">
        <f>CONCATENATE(X325,Z325,Y325)</f>
        <v>&lt;div &gt;</v>
      </c>
      <c r="AC325" s="65"/>
    </row>
    <row r="326" spans="1:29">
      <c r="A326" s="66">
        <f>A319+1</f>
        <v>46</v>
      </c>
      <c r="B326" s="67" t="str">
        <f>IF(B324="","",SUBSTITUTE(SUBSTITUTE(SUBSTITUTE(SUBSTITUTE(SUBSTITUTE(SUBSTITUTE(SUBSTITUTE(SUBSTITUTE(LOWER(CONCATENATE(B324," ",B325))," ","-"),"&lt;",""),"&gt;",""),"ó","o"),"?",""),"¿",""),"é","e"),"á","a"))</f>
        <v/>
      </c>
      <c r="C326" s="68" t="str">
        <f>CONCATENATE("&lt;h3&gt;",SUBSTITUTE(CONCATENATE(B324," ",B325),"&lt;","&amp;lt;"),"&lt;/h3&gt;")</f>
        <v>&lt;h3&gt; &lt;/h3&gt;</v>
      </c>
      <c r="D326" s="59"/>
      <c r="E326" s="60"/>
      <c r="G326" s="61">
        <f>G319+1</f>
        <v>47</v>
      </c>
      <c r="J326" s="59"/>
      <c r="K326" s="59"/>
      <c r="L326" s="68" t="str">
        <f>CONCATENATE("&lt;h4&gt;",SUBSTITUTE(CONCATENATE(J324," ",J325),"&lt;","&amp;lt;"),"&lt;/h4&gt;")</f>
        <v>&lt;h4&gt; &lt;/h4&gt;</v>
      </c>
      <c r="M326" s="65"/>
      <c r="O326" s="61">
        <f>O319+1</f>
        <v>47</v>
      </c>
      <c r="T326" t="str">
        <f>CONCATENATE("&lt;h5&gt;",R324,"&lt;/h5&gt;")</f>
        <v>&lt;h5&gt;&lt;/h5&gt;</v>
      </c>
      <c r="U326" s="65"/>
      <c r="W326" s="61">
        <f>W319+1</f>
        <v>47</v>
      </c>
      <c r="AB326" t="str">
        <f>CONCATENATE("&lt;",$Y$1,"&gt;",Z324,"&lt;/",$Y$1,"&gt;")</f>
        <v>&lt;h6&gt;&lt;/h6&gt;</v>
      </c>
      <c r="AC326" s="65"/>
    </row>
    <row r="327" spans="1:29">
      <c r="A327" s="58" t="str">
        <f t="shared" ref="A327:A330" si="225">""</f>
        <v/>
      </c>
      <c r="B327" s="67" t="str">
        <f>IF(B326&lt;&gt;"",IF(B325="",LEFT(B326,LEN(B326)-1),B326),"")</f>
        <v/>
      </c>
      <c r="D327" s="59"/>
      <c r="E327" s="60"/>
      <c r="G327" s="61" t="s">
        <v>189</v>
      </c>
      <c r="J327" s="64"/>
      <c r="K327" t="s">
        <v>2</v>
      </c>
      <c r="L327" t="str">
        <f>IF(J327&lt;&gt;"",CONCATENATE("&lt;p&gt;",J327,"&lt;/p&gt;"),"")</f>
        <v/>
      </c>
      <c r="M327" s="65"/>
      <c r="O327" s="61" t="s">
        <v>189</v>
      </c>
      <c r="R327" s="64"/>
      <c r="S327" t="s">
        <v>2</v>
      </c>
      <c r="T327" t="str">
        <f>IF(R327&lt;&gt;"",R327,"")</f>
        <v/>
      </c>
      <c r="U327" s="65"/>
      <c r="W327" s="61" t="s">
        <v>189</v>
      </c>
      <c r="Z327" s="64"/>
      <c r="AA327" t="s">
        <v>2</v>
      </c>
      <c r="AB327" t="str">
        <f>IF(Z327&lt;&gt;"",Z327,"")</f>
        <v/>
      </c>
      <c r="AC327" s="65"/>
    </row>
    <row r="328" spans="1:29">
      <c r="A328" s="58" t="s">
        <v>189</v>
      </c>
      <c r="B328" s="64"/>
      <c r="C328" t="s">
        <v>117</v>
      </c>
      <c r="D328" s="59"/>
      <c r="E328" s="60"/>
      <c r="G328" s="61" t="str">
        <f t="shared" ref="G328:G330" si="226">""</f>
        <v/>
      </c>
      <c r="L328" t="s">
        <v>117</v>
      </c>
      <c r="M328" s="65"/>
      <c r="O328" s="61" t="str">
        <f t="shared" ref="O328:O330" si="227">""</f>
        <v/>
      </c>
      <c r="T328" t="s">
        <v>117</v>
      </c>
      <c r="U328" s="65"/>
      <c r="W328" s="61" t="str">
        <f t="shared" ref="W328:W330" si="228">""</f>
        <v/>
      </c>
      <c r="AB328" t="s">
        <v>117</v>
      </c>
      <c r="AC328" s="65"/>
    </row>
    <row r="329" ht="14.55" spans="1:29">
      <c r="A329" s="69" t="str">
        <f t="shared" si="225"/>
        <v/>
      </c>
      <c r="C329" s="49" t="str">
        <f>CONCATENATE("&lt;!-- ",CONCATENATE(B324," ",B325," fin")," --&gt;")</f>
        <v>&lt;!--   fin --&gt;</v>
      </c>
      <c r="D329" s="70"/>
      <c r="E329" s="71"/>
      <c r="G329" s="72" t="str">
        <f t="shared" si="226"/>
        <v/>
      </c>
      <c r="H329" s="49"/>
      <c r="I329" s="49"/>
      <c r="J329" s="49"/>
      <c r="K329" s="49"/>
      <c r="L329" s="49" t="str">
        <f>CONCATENATE("&lt;!-- ",CONCATENATE(J324," ",J325," fin")," --&gt;")</f>
        <v>&lt;!--   fin --&gt;</v>
      </c>
      <c r="M329" s="73"/>
      <c r="O329" s="72" t="str">
        <f t="shared" si="227"/>
        <v/>
      </c>
      <c r="P329" s="49"/>
      <c r="Q329" s="49"/>
      <c r="R329" s="49"/>
      <c r="S329" s="49"/>
      <c r="T329" s="49" t="str">
        <f>CONCATENATE("&lt;!-- ",R324," fin --&gt;")</f>
        <v>&lt;!--  fin --&gt;</v>
      </c>
      <c r="U329" s="73"/>
      <c r="W329" s="72" t="str">
        <f t="shared" si="228"/>
        <v/>
      </c>
      <c r="X329" s="49"/>
      <c r="Y329" s="49"/>
      <c r="Z329" s="49"/>
      <c r="AA329" s="49"/>
      <c r="AB329" s="49" t="str">
        <f>CONCATENATE("&lt;!-- ",Z324," fin --&gt;")</f>
        <v>&lt;!--  fin --&gt;</v>
      </c>
      <c r="AC329" s="73"/>
    </row>
    <row r="330" ht="14.55" spans="1:29">
      <c r="A330" s="74" t="str">
        <f t="shared" si="225"/>
        <v/>
      </c>
      <c r="B330" s="52"/>
      <c r="C330" s="49" t="str">
        <f>""</f>
        <v/>
      </c>
      <c r="D330" s="49"/>
      <c r="E330" s="49"/>
      <c r="G330" s="61" t="str">
        <f t="shared" si="226"/>
        <v/>
      </c>
      <c r="H330" s="75"/>
      <c r="I330" s="75"/>
      <c r="J330" s="52"/>
      <c r="K330" s="55"/>
      <c r="L330" s="49" t="str">
        <f>""</f>
        <v/>
      </c>
      <c r="O330" s="54" t="str">
        <f t="shared" si="227"/>
        <v/>
      </c>
      <c r="P330" s="55"/>
      <c r="Q330" s="55"/>
      <c r="R330" s="52"/>
      <c r="S330" s="55"/>
      <c r="T330" s="49" t="str">
        <f>""</f>
        <v/>
      </c>
      <c r="W330" s="54" t="str">
        <f t="shared" si="228"/>
        <v/>
      </c>
      <c r="X330" s="55"/>
      <c r="Y330" s="55"/>
      <c r="Z330" s="52"/>
      <c r="AA330" s="55"/>
      <c r="AB330" s="49" t="str">
        <f>""</f>
        <v/>
      </c>
    </row>
    <row r="331" spans="1:29">
      <c r="A331" s="50" t="str">
        <f>CONCATENATE("Título ",A333)</f>
        <v>Título 47</v>
      </c>
      <c r="B331" s="57"/>
      <c r="C331" s="51" t="str">
        <f>CONCATENATE("&lt;!-- ",CONCATENATE(B331," ",B332)," --&gt;")</f>
        <v>&lt;!--   --&gt;</v>
      </c>
      <c r="D331" s="52"/>
      <c r="E331" s="53" t="str">
        <f>""</f>
        <v/>
      </c>
      <c r="G331" s="54" t="str">
        <f>CONCATENATE("Título ",G333)</f>
        <v>Título 48</v>
      </c>
      <c r="H331" s="55"/>
      <c r="I331" s="55"/>
      <c r="J331" s="57"/>
      <c r="K331" s="55" t="s">
        <v>2</v>
      </c>
      <c r="L331" s="51" t="str">
        <f>CONCATENATE("&lt;!-- ",CONCATENATE(J331," ",J332)," --&gt;")</f>
        <v>&lt;!--   --&gt;</v>
      </c>
      <c r="M331" s="56"/>
      <c r="O331" s="54" t="str">
        <f>G331</f>
        <v>Título 48</v>
      </c>
      <c r="P331" s="55"/>
      <c r="Q331" s="55"/>
      <c r="R331" s="57"/>
      <c r="S331" s="55"/>
      <c r="T331" s="55" t="str">
        <f>CONCATENATE("&lt;!-- ",R331," --&gt;")</f>
        <v>&lt;!--  --&gt;</v>
      </c>
      <c r="U331" s="56"/>
      <c r="W331" s="54" t="str">
        <f>O331</f>
        <v>Título 48</v>
      </c>
      <c r="X331" s="55"/>
      <c r="Y331" s="55"/>
      <c r="Z331" s="57"/>
      <c r="AA331" s="55"/>
      <c r="AB331" s="55" t="str">
        <f>CONCATENATE("&lt;!-- ",Z331," --&gt;")</f>
        <v>&lt;!--  --&gt;</v>
      </c>
      <c r="AC331" s="56"/>
    </row>
    <row r="332" ht="14.4" spans="1:29">
      <c r="A332" s="58" t="s">
        <v>186</v>
      </c>
      <c r="C332" t="str">
        <f>IF(B333&lt;&gt;"",CONCATENATE("&lt;div id=",Comilla,B334,Comilla,"&gt;"),"")</f>
        <v/>
      </c>
      <c r="D332" s="59"/>
      <c r="E332" s="60" t="str">
        <f>CONCATENATE(" &lt;a href=",Comilla,"#",B334,Comilla," class=",Comilla,"submenu-item",Comilla,"&gt;",B331,"&lt;/a&gt;")</f>
        <v> &lt;a href="#" class="submenu-item"&gt;&lt;/a&gt;</v>
      </c>
      <c r="G332" s="61" t="s">
        <v>186</v>
      </c>
      <c r="H332" s="62" t="s">
        <v>187</v>
      </c>
      <c r="I332" s="63" t="s">
        <v>188</v>
      </c>
      <c r="J332" s="64"/>
      <c r="L332" t="str">
        <f>IF(J331&lt;&gt;"","&lt;div&gt;","")</f>
        <v/>
      </c>
      <c r="M332" s="65"/>
      <c r="O332" s="61" t="s">
        <v>186</v>
      </c>
      <c r="P332" s="62" t="s">
        <v>187</v>
      </c>
      <c r="Q332" s="63" t="s">
        <v>188</v>
      </c>
      <c r="T332" t="str">
        <f>CONCATENATE(P332,R332,Q332)</f>
        <v>&lt;div &gt;</v>
      </c>
      <c r="U332" s="65"/>
      <c r="W332" s="61" t="s">
        <v>186</v>
      </c>
      <c r="X332" s="62" t="s">
        <v>187</v>
      </c>
      <c r="Y332" s="63" t="s">
        <v>188</v>
      </c>
      <c r="AB332" t="str">
        <f>CONCATENATE(X332,Z332,Y332)</f>
        <v>&lt;div &gt;</v>
      </c>
      <c r="AC332" s="65"/>
    </row>
    <row r="333" spans="1:29">
      <c r="A333" s="66">
        <f>A326+1</f>
        <v>47</v>
      </c>
      <c r="B333" s="67" t="str">
        <f>IF(B331="","",SUBSTITUTE(SUBSTITUTE(SUBSTITUTE(SUBSTITUTE(SUBSTITUTE(SUBSTITUTE(SUBSTITUTE(SUBSTITUTE(LOWER(CONCATENATE(B331," ",B332))," ","-"),"&lt;",""),"&gt;",""),"ó","o"),"?",""),"¿",""),"é","e"),"á","a"))</f>
        <v/>
      </c>
      <c r="C333" s="68" t="str">
        <f>CONCATENATE("&lt;h3&gt;",SUBSTITUTE(CONCATENATE(B331," ",B332),"&lt;","&amp;lt;"),"&lt;/h3&gt;")</f>
        <v>&lt;h3&gt; &lt;/h3&gt;</v>
      </c>
      <c r="D333" s="59"/>
      <c r="E333" s="60"/>
      <c r="G333" s="61">
        <f>G326+1</f>
        <v>48</v>
      </c>
      <c r="J333" s="59"/>
      <c r="K333" s="59"/>
      <c r="L333" s="68" t="str">
        <f>CONCATENATE("&lt;h4&gt;",SUBSTITUTE(CONCATENATE(J331," ",J332),"&lt;","&amp;lt;"),"&lt;/h4&gt;")</f>
        <v>&lt;h4&gt; &lt;/h4&gt;</v>
      </c>
      <c r="M333" s="65"/>
      <c r="O333" s="61">
        <f>O326+1</f>
        <v>48</v>
      </c>
      <c r="T333" t="str">
        <f>CONCATENATE("&lt;h5&gt;",R331,"&lt;/h5&gt;")</f>
        <v>&lt;h5&gt;&lt;/h5&gt;</v>
      </c>
      <c r="U333" s="65"/>
      <c r="W333" s="61">
        <f>W326+1</f>
        <v>48</v>
      </c>
      <c r="AB333" t="str">
        <f>CONCATENATE("&lt;",$Y$1,"&gt;",Z331,"&lt;/",$Y$1,"&gt;")</f>
        <v>&lt;h6&gt;&lt;/h6&gt;</v>
      </c>
      <c r="AC333" s="65"/>
    </row>
    <row r="334" spans="1:29">
      <c r="A334" s="58" t="str">
        <f t="shared" ref="A334:A337" si="229">""</f>
        <v/>
      </c>
      <c r="B334" s="67" t="str">
        <f>IF(B333&lt;&gt;"",IF(B332="",LEFT(B333,LEN(B333)-1),B333),"")</f>
        <v/>
      </c>
      <c r="D334" s="59"/>
      <c r="E334" s="60"/>
      <c r="G334" s="61" t="s">
        <v>189</v>
      </c>
      <c r="J334" s="64"/>
      <c r="K334" t="s">
        <v>2</v>
      </c>
      <c r="L334" t="str">
        <f>IF(J334&lt;&gt;"",CONCATENATE("&lt;p&gt;",J334,"&lt;/p&gt;"),"")</f>
        <v/>
      </c>
      <c r="M334" s="65"/>
      <c r="O334" s="61" t="s">
        <v>189</v>
      </c>
      <c r="R334" s="64"/>
      <c r="S334" t="s">
        <v>2</v>
      </c>
      <c r="T334" t="str">
        <f>IF(R334&lt;&gt;"",R334,"")</f>
        <v/>
      </c>
      <c r="U334" s="65"/>
      <c r="W334" s="61" t="s">
        <v>189</v>
      </c>
      <c r="Z334" s="64"/>
      <c r="AA334" t="s">
        <v>2</v>
      </c>
      <c r="AB334" t="str">
        <f>IF(Z334&lt;&gt;"",Z334,"")</f>
        <v/>
      </c>
      <c r="AC334" s="65"/>
    </row>
    <row r="335" spans="1:29">
      <c r="A335" s="58" t="s">
        <v>189</v>
      </c>
      <c r="B335" s="64"/>
      <c r="C335" t="s">
        <v>117</v>
      </c>
      <c r="D335" s="59"/>
      <c r="E335" s="60"/>
      <c r="G335" s="61" t="str">
        <f t="shared" ref="G335:G337" si="230">""</f>
        <v/>
      </c>
      <c r="L335" t="s">
        <v>117</v>
      </c>
      <c r="M335" s="65"/>
      <c r="O335" s="61" t="str">
        <f t="shared" ref="O335:O337" si="231">""</f>
        <v/>
      </c>
      <c r="T335" t="s">
        <v>117</v>
      </c>
      <c r="U335" s="65"/>
      <c r="W335" s="61" t="str">
        <f t="shared" ref="W335:W337" si="232">""</f>
        <v/>
      </c>
      <c r="AB335" t="s">
        <v>117</v>
      </c>
      <c r="AC335" s="65"/>
    </row>
    <row r="336" ht="14.55" spans="1:29">
      <c r="A336" s="69" t="str">
        <f t="shared" si="229"/>
        <v/>
      </c>
      <c r="C336" s="49" t="str">
        <f>CONCATENATE("&lt;!-- ",CONCATENATE(B331," ",B332," fin")," --&gt;")</f>
        <v>&lt;!--   fin --&gt;</v>
      </c>
      <c r="D336" s="70"/>
      <c r="E336" s="71"/>
      <c r="G336" s="72" t="str">
        <f t="shared" si="230"/>
        <v/>
      </c>
      <c r="H336" s="49"/>
      <c r="I336" s="49"/>
      <c r="J336" s="49"/>
      <c r="K336" s="49"/>
      <c r="L336" s="49" t="str">
        <f>CONCATENATE("&lt;!-- ",CONCATENATE(J331," ",J332," fin")," --&gt;")</f>
        <v>&lt;!--   fin --&gt;</v>
      </c>
      <c r="M336" s="73"/>
      <c r="O336" s="72" t="str">
        <f t="shared" si="231"/>
        <v/>
      </c>
      <c r="P336" s="49"/>
      <c r="Q336" s="49"/>
      <c r="R336" s="49"/>
      <c r="S336" s="49"/>
      <c r="T336" s="49" t="str">
        <f>CONCATENATE("&lt;!-- ",R331," fin --&gt;")</f>
        <v>&lt;!--  fin --&gt;</v>
      </c>
      <c r="U336" s="73"/>
      <c r="W336" s="72" t="str">
        <f t="shared" si="232"/>
        <v/>
      </c>
      <c r="X336" s="49"/>
      <c r="Y336" s="49"/>
      <c r="Z336" s="49"/>
      <c r="AA336" s="49"/>
      <c r="AB336" s="49" t="str">
        <f>CONCATENATE("&lt;!-- ",Z331," fin --&gt;")</f>
        <v>&lt;!--  fin --&gt;</v>
      </c>
      <c r="AC336" s="73"/>
    </row>
    <row r="337" ht="14.55" spans="1:29">
      <c r="A337" s="74" t="str">
        <f t="shared" si="229"/>
        <v/>
      </c>
      <c r="B337" s="52"/>
      <c r="C337" s="49" t="str">
        <f>""</f>
        <v/>
      </c>
      <c r="D337" s="49"/>
      <c r="E337" s="49"/>
      <c r="G337" s="61" t="str">
        <f t="shared" si="230"/>
        <v/>
      </c>
      <c r="H337" s="75"/>
      <c r="I337" s="75"/>
      <c r="J337" s="52"/>
      <c r="K337" s="55"/>
      <c r="L337" s="49" t="str">
        <f>""</f>
        <v/>
      </c>
      <c r="O337" s="54" t="str">
        <f t="shared" si="231"/>
        <v/>
      </c>
      <c r="P337" s="55"/>
      <c r="Q337" s="55"/>
      <c r="R337" s="52"/>
      <c r="S337" s="55"/>
      <c r="T337" s="49" t="str">
        <f>""</f>
        <v/>
      </c>
      <c r="W337" s="54" t="str">
        <f t="shared" si="232"/>
        <v/>
      </c>
      <c r="X337" s="55"/>
      <c r="Y337" s="55"/>
      <c r="Z337" s="52"/>
      <c r="AA337" s="55"/>
      <c r="AB337" s="49" t="str">
        <f>""</f>
        <v/>
      </c>
    </row>
    <row r="338" spans="1:29">
      <c r="A338" s="50" t="str">
        <f>CONCATENATE("Título ",A340)</f>
        <v>Título 48</v>
      </c>
      <c r="B338" s="57"/>
      <c r="C338" s="51" t="str">
        <f>CONCATENATE("&lt;!-- ",CONCATENATE(B338," ",B339)," --&gt;")</f>
        <v>&lt;!--   --&gt;</v>
      </c>
      <c r="D338" s="52"/>
      <c r="E338" s="53" t="str">
        <f>""</f>
        <v/>
      </c>
      <c r="G338" s="54" t="str">
        <f>CONCATENATE("Título ",G340)</f>
        <v>Título 49</v>
      </c>
      <c r="H338" s="55"/>
      <c r="I338" s="55"/>
      <c r="J338" s="57"/>
      <c r="K338" s="55" t="s">
        <v>2</v>
      </c>
      <c r="L338" s="51" t="str">
        <f>CONCATENATE("&lt;!-- ",CONCATENATE(J338," ",J339)," --&gt;")</f>
        <v>&lt;!--   --&gt;</v>
      </c>
      <c r="M338" s="56"/>
      <c r="O338" s="54" t="str">
        <f>G338</f>
        <v>Título 49</v>
      </c>
      <c r="P338" s="55"/>
      <c r="Q338" s="55"/>
      <c r="R338" s="57"/>
      <c r="S338" s="55"/>
      <c r="T338" s="55" t="str">
        <f>CONCATENATE("&lt;!-- ",R338," --&gt;")</f>
        <v>&lt;!--  --&gt;</v>
      </c>
      <c r="U338" s="56"/>
      <c r="W338" s="54" t="str">
        <f>O338</f>
        <v>Título 49</v>
      </c>
      <c r="X338" s="55"/>
      <c r="Y338" s="55"/>
      <c r="Z338" s="57"/>
      <c r="AA338" s="55"/>
      <c r="AB338" s="55" t="str">
        <f>CONCATENATE("&lt;!-- ",Z338," --&gt;")</f>
        <v>&lt;!--  --&gt;</v>
      </c>
      <c r="AC338" s="56"/>
    </row>
    <row r="339" ht="14.4" spans="1:29">
      <c r="A339" s="58" t="s">
        <v>186</v>
      </c>
      <c r="C339" t="str">
        <f>IF(B340&lt;&gt;"",CONCATENATE("&lt;div id=",Comilla,B341,Comilla,"&gt;"),"")</f>
        <v/>
      </c>
      <c r="D339" s="59"/>
      <c r="E339" s="60" t="str">
        <f>CONCATENATE(" &lt;a href=",Comilla,"#",B341,Comilla," class=",Comilla,"submenu-item",Comilla,"&gt;",B338,"&lt;/a&gt;")</f>
        <v> &lt;a href="#" class="submenu-item"&gt;&lt;/a&gt;</v>
      </c>
      <c r="G339" s="61" t="s">
        <v>186</v>
      </c>
      <c r="H339" s="62" t="s">
        <v>187</v>
      </c>
      <c r="I339" s="63" t="s">
        <v>188</v>
      </c>
      <c r="J339" s="64"/>
      <c r="L339" t="str">
        <f>IF(J338&lt;&gt;"","&lt;div&gt;","")</f>
        <v/>
      </c>
      <c r="M339" s="65"/>
      <c r="O339" s="61" t="s">
        <v>186</v>
      </c>
      <c r="P339" s="62" t="s">
        <v>187</v>
      </c>
      <c r="Q339" s="63" t="s">
        <v>188</v>
      </c>
      <c r="T339" t="str">
        <f>CONCATENATE(P339,R339,Q339)</f>
        <v>&lt;div &gt;</v>
      </c>
      <c r="U339" s="65"/>
      <c r="W339" s="61" t="s">
        <v>186</v>
      </c>
      <c r="X339" s="62" t="s">
        <v>187</v>
      </c>
      <c r="Y339" s="63" t="s">
        <v>188</v>
      </c>
      <c r="AB339" t="str">
        <f>CONCATENATE(X339,Z339,Y339)</f>
        <v>&lt;div &gt;</v>
      </c>
      <c r="AC339" s="65"/>
    </row>
    <row r="340" spans="1:29">
      <c r="A340" s="66">
        <f>A333+1</f>
        <v>48</v>
      </c>
      <c r="B340" s="67" t="str">
        <f>IF(B338="","",SUBSTITUTE(SUBSTITUTE(SUBSTITUTE(SUBSTITUTE(SUBSTITUTE(SUBSTITUTE(SUBSTITUTE(SUBSTITUTE(LOWER(CONCATENATE(B338," ",B339))," ","-"),"&lt;",""),"&gt;",""),"ó","o"),"?",""),"¿",""),"é","e"),"á","a"))</f>
        <v/>
      </c>
      <c r="C340" s="68" t="str">
        <f>CONCATENATE("&lt;h3&gt;",SUBSTITUTE(CONCATENATE(B338," ",B339),"&lt;","&amp;lt;"),"&lt;/h3&gt;")</f>
        <v>&lt;h3&gt; &lt;/h3&gt;</v>
      </c>
      <c r="D340" s="59"/>
      <c r="E340" s="60"/>
      <c r="G340" s="61">
        <f>G333+1</f>
        <v>49</v>
      </c>
      <c r="J340" s="59"/>
      <c r="K340" s="59"/>
      <c r="L340" s="68" t="str">
        <f>CONCATENATE("&lt;h4&gt;",SUBSTITUTE(CONCATENATE(J338," ",J339),"&lt;","&amp;lt;"),"&lt;/h4&gt;")</f>
        <v>&lt;h4&gt; &lt;/h4&gt;</v>
      </c>
      <c r="M340" s="65"/>
      <c r="O340" s="61">
        <f>O333+1</f>
        <v>49</v>
      </c>
      <c r="T340" t="str">
        <f>CONCATENATE("&lt;h5&gt;",R338,"&lt;/h5&gt;")</f>
        <v>&lt;h5&gt;&lt;/h5&gt;</v>
      </c>
      <c r="U340" s="65"/>
      <c r="W340" s="61">
        <f>W333+1</f>
        <v>49</v>
      </c>
      <c r="AB340" t="str">
        <f>CONCATENATE("&lt;",$Y$1,"&gt;",Z338,"&lt;/",$Y$1,"&gt;")</f>
        <v>&lt;h6&gt;&lt;/h6&gt;</v>
      </c>
      <c r="AC340" s="65"/>
    </row>
    <row r="341" spans="1:29">
      <c r="A341" s="58" t="str">
        <f t="shared" ref="A341:A344" si="233">""</f>
        <v/>
      </c>
      <c r="B341" s="67" t="str">
        <f>IF(B340&lt;&gt;"",IF(B339="",LEFT(B340,LEN(B340)-1),B340),"")</f>
        <v/>
      </c>
      <c r="D341" s="59"/>
      <c r="E341" s="60"/>
      <c r="G341" s="61" t="s">
        <v>189</v>
      </c>
      <c r="J341" s="64"/>
      <c r="K341" t="s">
        <v>2</v>
      </c>
      <c r="L341" t="str">
        <f>IF(J341&lt;&gt;"",CONCATENATE("&lt;p&gt;",J341,"&lt;/p&gt;"),"")</f>
        <v/>
      </c>
      <c r="M341" s="65"/>
      <c r="O341" s="61" t="s">
        <v>189</v>
      </c>
      <c r="R341" s="64"/>
      <c r="S341" t="s">
        <v>2</v>
      </c>
      <c r="T341" t="str">
        <f>IF(R341&lt;&gt;"",R341,"")</f>
        <v/>
      </c>
      <c r="U341" s="65"/>
      <c r="W341" s="61" t="s">
        <v>189</v>
      </c>
      <c r="Z341" s="64"/>
      <c r="AA341" t="s">
        <v>2</v>
      </c>
      <c r="AB341" t="str">
        <f>IF(Z341&lt;&gt;"",Z341,"")</f>
        <v/>
      </c>
      <c r="AC341" s="65"/>
    </row>
    <row r="342" spans="1:29">
      <c r="A342" s="58" t="s">
        <v>189</v>
      </c>
      <c r="B342" s="64"/>
      <c r="C342" t="s">
        <v>117</v>
      </c>
      <c r="D342" s="59"/>
      <c r="E342" s="60"/>
      <c r="G342" s="61" t="str">
        <f t="shared" ref="G342:G344" si="234">""</f>
        <v/>
      </c>
      <c r="L342" t="s">
        <v>117</v>
      </c>
      <c r="M342" s="65"/>
      <c r="O342" s="61" t="str">
        <f t="shared" ref="O342:O344" si="235">""</f>
        <v/>
      </c>
      <c r="T342" t="s">
        <v>117</v>
      </c>
      <c r="U342" s="65"/>
      <c r="W342" s="61" t="str">
        <f t="shared" ref="W342:W344" si="236">""</f>
        <v/>
      </c>
      <c r="AB342" t="s">
        <v>117</v>
      </c>
      <c r="AC342" s="65"/>
    </row>
    <row r="343" ht="14.55" spans="1:29">
      <c r="A343" s="69" t="str">
        <f t="shared" si="233"/>
        <v/>
      </c>
      <c r="C343" s="49" t="str">
        <f>CONCATENATE("&lt;!-- ",CONCATENATE(B338," ",B339," fin")," --&gt;")</f>
        <v>&lt;!--   fin --&gt;</v>
      </c>
      <c r="D343" s="70"/>
      <c r="E343" s="71"/>
      <c r="G343" s="72" t="str">
        <f t="shared" si="234"/>
        <v/>
      </c>
      <c r="H343" s="49"/>
      <c r="I343" s="49"/>
      <c r="J343" s="49"/>
      <c r="K343" s="49"/>
      <c r="L343" s="49" t="str">
        <f>CONCATENATE("&lt;!-- ",CONCATENATE(J338," ",J339," fin")," --&gt;")</f>
        <v>&lt;!--   fin --&gt;</v>
      </c>
      <c r="M343" s="73"/>
      <c r="O343" s="72" t="str">
        <f t="shared" si="235"/>
        <v/>
      </c>
      <c r="P343" s="49"/>
      <c r="Q343" s="49"/>
      <c r="R343" s="49"/>
      <c r="S343" s="49"/>
      <c r="T343" s="49" t="str">
        <f>CONCATENATE("&lt;!-- ",R338," fin --&gt;")</f>
        <v>&lt;!--  fin --&gt;</v>
      </c>
      <c r="U343" s="73"/>
      <c r="W343" s="72" t="str">
        <f t="shared" si="236"/>
        <v/>
      </c>
      <c r="X343" s="49"/>
      <c r="Y343" s="49"/>
      <c r="Z343" s="49"/>
      <c r="AA343" s="49"/>
      <c r="AB343" s="49" t="str">
        <f>CONCATENATE("&lt;!-- ",Z338," fin --&gt;")</f>
        <v>&lt;!--  fin --&gt;</v>
      </c>
      <c r="AC343" s="73"/>
    </row>
    <row r="344" ht="14.55" spans="1:29">
      <c r="A344" s="74" t="str">
        <f t="shared" si="233"/>
        <v/>
      </c>
      <c r="B344" s="52"/>
      <c r="C344" s="49" t="str">
        <f>""</f>
        <v/>
      </c>
      <c r="D344" s="49"/>
      <c r="E344" s="49"/>
      <c r="G344" s="61" t="str">
        <f t="shared" si="234"/>
        <v/>
      </c>
      <c r="H344" s="75"/>
      <c r="I344" s="75"/>
      <c r="J344" s="52"/>
      <c r="K344" s="55"/>
      <c r="L344" s="49" t="str">
        <f>""</f>
        <v/>
      </c>
      <c r="O344" s="54" t="str">
        <f t="shared" si="235"/>
        <v/>
      </c>
      <c r="P344" s="55"/>
      <c r="Q344" s="55"/>
      <c r="R344" s="52"/>
      <c r="S344" s="55"/>
      <c r="T344" s="49" t="str">
        <f>""</f>
        <v/>
      </c>
      <c r="W344" s="54" t="str">
        <f t="shared" si="236"/>
        <v/>
      </c>
      <c r="X344" s="55"/>
      <c r="Y344" s="55"/>
      <c r="Z344" s="52"/>
      <c r="AA344" s="55"/>
      <c r="AB344" s="49" t="str">
        <f>""</f>
        <v/>
      </c>
    </row>
    <row r="345" spans="1:29">
      <c r="A345" s="50" t="str">
        <f>CONCATENATE("Título ",A347)</f>
        <v>Título 49</v>
      </c>
      <c r="B345" s="57"/>
      <c r="C345" s="51" t="str">
        <f>CONCATENATE("&lt;!-- ",CONCATENATE(B345," ",B346)," --&gt;")</f>
        <v>&lt;!--   --&gt;</v>
      </c>
      <c r="D345" s="52"/>
      <c r="E345" s="53" t="str">
        <f>""</f>
        <v/>
      </c>
      <c r="G345" s="54" t="str">
        <f>CONCATENATE("Título ",G347)</f>
        <v>Título 50</v>
      </c>
      <c r="H345" s="55"/>
      <c r="I345" s="55"/>
      <c r="J345" s="57"/>
      <c r="K345" s="55" t="s">
        <v>2</v>
      </c>
      <c r="L345" s="51" t="str">
        <f>CONCATENATE("&lt;!-- ",CONCATENATE(J345," ",J346)," --&gt;")</f>
        <v>&lt;!--   --&gt;</v>
      </c>
      <c r="M345" s="56"/>
      <c r="O345" s="54" t="str">
        <f>G345</f>
        <v>Título 50</v>
      </c>
      <c r="P345" s="55"/>
      <c r="Q345" s="55"/>
      <c r="R345" s="57"/>
      <c r="S345" s="55"/>
      <c r="T345" s="55" t="str">
        <f>CONCATENATE("&lt;!-- ",R345," --&gt;")</f>
        <v>&lt;!--  --&gt;</v>
      </c>
      <c r="U345" s="56"/>
      <c r="W345" s="54" t="str">
        <f>O345</f>
        <v>Título 50</v>
      </c>
      <c r="X345" s="55"/>
      <c r="Y345" s="55"/>
      <c r="Z345" s="57"/>
      <c r="AA345" s="55"/>
      <c r="AB345" s="55" t="str">
        <f>CONCATENATE("&lt;!-- ",Z345," --&gt;")</f>
        <v>&lt;!--  --&gt;</v>
      </c>
      <c r="AC345" s="56"/>
    </row>
    <row r="346" ht="14.4" spans="1:29">
      <c r="A346" s="58" t="s">
        <v>186</v>
      </c>
      <c r="C346" t="str">
        <f>IF(B347&lt;&gt;"",CONCATENATE("&lt;div id=",Comilla,B348,Comilla,"&gt;"),"")</f>
        <v/>
      </c>
      <c r="D346" s="59"/>
      <c r="E346" s="60" t="str">
        <f>CONCATENATE(" &lt;a href=",Comilla,"#",B348,Comilla," class=",Comilla,"submenu-item",Comilla,"&gt;",B345,"&lt;/a&gt;")</f>
        <v> &lt;a href="#" class="submenu-item"&gt;&lt;/a&gt;</v>
      </c>
      <c r="G346" s="61" t="s">
        <v>186</v>
      </c>
      <c r="H346" s="62" t="s">
        <v>187</v>
      </c>
      <c r="I346" s="63" t="s">
        <v>188</v>
      </c>
      <c r="J346" s="64"/>
      <c r="L346" t="str">
        <f>IF(J345&lt;&gt;"","&lt;div&gt;","")</f>
        <v/>
      </c>
      <c r="M346" s="65"/>
      <c r="O346" s="61" t="s">
        <v>186</v>
      </c>
      <c r="P346" s="62" t="s">
        <v>187</v>
      </c>
      <c r="Q346" s="63" t="s">
        <v>188</v>
      </c>
      <c r="T346" t="str">
        <f>CONCATENATE(P346,R346,Q346)</f>
        <v>&lt;div &gt;</v>
      </c>
      <c r="U346" s="65"/>
      <c r="W346" s="61" t="s">
        <v>186</v>
      </c>
      <c r="X346" s="62" t="s">
        <v>187</v>
      </c>
      <c r="Y346" s="63" t="s">
        <v>188</v>
      </c>
      <c r="AB346" t="str">
        <f>CONCATENATE(X346,Z346,Y346)</f>
        <v>&lt;div &gt;</v>
      </c>
      <c r="AC346" s="65"/>
    </row>
    <row r="347" spans="1:29">
      <c r="A347" s="66">
        <f>A340+1</f>
        <v>49</v>
      </c>
      <c r="B347" s="67" t="str">
        <f>IF(B345="","",SUBSTITUTE(SUBSTITUTE(SUBSTITUTE(SUBSTITUTE(SUBSTITUTE(SUBSTITUTE(SUBSTITUTE(SUBSTITUTE(LOWER(CONCATENATE(B345," ",B346))," ","-"),"&lt;",""),"&gt;",""),"ó","o"),"?",""),"¿",""),"é","e"),"á","a"))</f>
        <v/>
      </c>
      <c r="C347" s="68" t="str">
        <f>CONCATENATE("&lt;h3&gt;",SUBSTITUTE(CONCATENATE(B345," ",B346),"&lt;","&amp;lt;"),"&lt;/h3&gt;")</f>
        <v>&lt;h3&gt; &lt;/h3&gt;</v>
      </c>
      <c r="D347" s="59"/>
      <c r="E347" s="60"/>
      <c r="G347" s="61">
        <f>G340+1</f>
        <v>50</v>
      </c>
      <c r="J347" s="59"/>
      <c r="K347" s="59"/>
      <c r="L347" s="68" t="str">
        <f>CONCATENATE("&lt;h4&gt;",SUBSTITUTE(CONCATENATE(J345," ",J346),"&lt;","&amp;lt;"),"&lt;/h4&gt;")</f>
        <v>&lt;h4&gt; &lt;/h4&gt;</v>
      </c>
      <c r="M347" s="65"/>
      <c r="O347" s="61">
        <f>O340+1</f>
        <v>50</v>
      </c>
      <c r="T347" t="str">
        <f>CONCATENATE("&lt;h5&gt;",R345,"&lt;/h5&gt;")</f>
        <v>&lt;h5&gt;&lt;/h5&gt;</v>
      </c>
      <c r="U347" s="65"/>
      <c r="W347" s="61">
        <f>W340+1</f>
        <v>50</v>
      </c>
      <c r="AB347" t="str">
        <f>CONCATENATE("&lt;",$Y$1,"&gt;",Z345,"&lt;/",$Y$1,"&gt;")</f>
        <v>&lt;h6&gt;&lt;/h6&gt;</v>
      </c>
      <c r="AC347" s="65"/>
    </row>
    <row r="348" spans="1:29">
      <c r="A348" s="58" t="str">
        <f t="shared" ref="A348:A351" si="237">""</f>
        <v/>
      </c>
      <c r="B348" s="67" t="str">
        <f>IF(B347&lt;&gt;"",IF(B346="",LEFT(B347,LEN(B347)-1),B347),"")</f>
        <v/>
      </c>
      <c r="D348" s="59"/>
      <c r="E348" s="60"/>
      <c r="G348" s="61" t="s">
        <v>189</v>
      </c>
      <c r="J348" s="64"/>
      <c r="K348" t="s">
        <v>2</v>
      </c>
      <c r="L348" t="str">
        <f>IF(J348&lt;&gt;"",CONCATENATE("&lt;p&gt;",J348,"&lt;/p&gt;"),"")</f>
        <v/>
      </c>
      <c r="M348" s="65"/>
      <c r="O348" s="61" t="s">
        <v>189</v>
      </c>
      <c r="R348" s="64"/>
      <c r="S348" t="s">
        <v>2</v>
      </c>
      <c r="T348" t="str">
        <f>IF(R348&lt;&gt;"",R348,"")</f>
        <v/>
      </c>
      <c r="U348" s="65"/>
      <c r="W348" s="61" t="s">
        <v>189</v>
      </c>
      <c r="Z348" s="64"/>
      <c r="AA348" t="s">
        <v>2</v>
      </c>
      <c r="AB348" t="str">
        <f>IF(Z348&lt;&gt;"",Z348,"")</f>
        <v/>
      </c>
      <c r="AC348" s="65"/>
    </row>
    <row r="349" spans="1:29">
      <c r="A349" s="58" t="s">
        <v>189</v>
      </c>
      <c r="B349" s="64"/>
      <c r="C349" t="s">
        <v>117</v>
      </c>
      <c r="D349" s="59"/>
      <c r="E349" s="60"/>
      <c r="G349" s="61" t="str">
        <f t="shared" ref="G349:G351" si="238">""</f>
        <v/>
      </c>
      <c r="L349" t="s">
        <v>117</v>
      </c>
      <c r="M349" s="65"/>
      <c r="O349" s="61" t="str">
        <f t="shared" ref="O349:O351" si="239">""</f>
        <v/>
      </c>
      <c r="T349" t="s">
        <v>117</v>
      </c>
      <c r="U349" s="65"/>
      <c r="W349" s="61" t="str">
        <f t="shared" ref="W349:W351" si="240">""</f>
        <v/>
      </c>
      <c r="AB349" t="s">
        <v>117</v>
      </c>
      <c r="AC349" s="65"/>
    </row>
    <row r="350" ht="14.55" spans="1:29">
      <c r="A350" s="69" t="str">
        <f t="shared" si="237"/>
        <v/>
      </c>
      <c r="B350" s="49"/>
      <c r="C350" s="49" t="str">
        <f>CONCATENATE("&lt;!-- ",CONCATENATE(B345," ",B346," fin")," --&gt;")</f>
        <v>&lt;!--   fin --&gt;</v>
      </c>
      <c r="D350" s="70"/>
      <c r="E350" s="71"/>
      <c r="G350" s="72" t="str">
        <f t="shared" si="238"/>
        <v/>
      </c>
      <c r="H350" s="49"/>
      <c r="I350" s="49"/>
      <c r="J350" s="49"/>
      <c r="K350" s="49"/>
      <c r="L350" s="49" t="str">
        <f>CONCATENATE("&lt;!-- ",CONCATENATE(J345," ",J346," fin")," --&gt;")</f>
        <v>&lt;!--   fin --&gt;</v>
      </c>
      <c r="M350" s="73"/>
      <c r="O350" s="72" t="str">
        <f t="shared" si="239"/>
        <v/>
      </c>
      <c r="P350" s="49"/>
      <c r="Q350" s="49"/>
      <c r="R350" s="49"/>
      <c r="S350" s="49"/>
      <c r="T350" s="49" t="str">
        <f>CONCATENATE("&lt;!-- ",R345," fin --&gt;")</f>
        <v>&lt;!--  fin --&gt;</v>
      </c>
      <c r="U350" s="73"/>
      <c r="W350" s="72" t="str">
        <f t="shared" si="240"/>
        <v/>
      </c>
      <c r="X350" s="49"/>
      <c r="Y350" s="49"/>
      <c r="Z350" s="49"/>
      <c r="AA350" s="49"/>
      <c r="AB350" s="49" t="str">
        <f>CONCATENATE("&lt;!-- ",Z345," fin --&gt;")</f>
        <v>&lt;!--  fin --&gt;</v>
      </c>
      <c r="AC350" s="73"/>
    </row>
    <row r="351" ht="14.55" spans="1:29">
      <c r="A351" s="74" t="str">
        <f t="shared" si="237"/>
        <v/>
      </c>
      <c r="B351" s="52"/>
      <c r="C351" s="49" t="str">
        <f>""</f>
        <v/>
      </c>
      <c r="D351" s="49"/>
      <c r="E351" s="49"/>
      <c r="G351" s="61" t="str">
        <f t="shared" si="238"/>
        <v/>
      </c>
      <c r="H351" s="75"/>
      <c r="I351" s="75"/>
      <c r="J351" s="52"/>
      <c r="K351" s="55"/>
      <c r="L351" s="49" t="str">
        <f>""</f>
        <v/>
      </c>
      <c r="O351" s="54" t="str">
        <f t="shared" si="239"/>
        <v/>
      </c>
      <c r="P351" s="55"/>
      <c r="Q351" s="55"/>
      <c r="R351" s="52"/>
      <c r="S351" s="55"/>
      <c r="T351" s="49" t="str">
        <f>""</f>
        <v/>
      </c>
      <c r="W351" s="54" t="str">
        <f t="shared" si="240"/>
        <v/>
      </c>
      <c r="X351" s="55"/>
      <c r="Y351" s="55"/>
      <c r="Z351" s="52"/>
      <c r="AA351" s="55"/>
      <c r="AB351" s="49" t="str">
        <f>""</f>
        <v/>
      </c>
    </row>
    <row r="352" spans="1:29">
      <c r="A352" s="50" t="str">
        <f>CONCATENATE("Título ",A354)</f>
        <v>Título 50</v>
      </c>
      <c r="B352" s="57"/>
      <c r="C352" s="51" t="str">
        <f>CONCATENATE("&lt;!-- ",CONCATENATE(B352," ",B353)," --&gt;")</f>
        <v>&lt;!--   --&gt;</v>
      </c>
      <c r="D352" s="52"/>
      <c r="E352" s="53" t="str">
        <f>""</f>
        <v/>
      </c>
      <c r="G352" s="54" t="str">
        <f>CONCATENATE("Título ",G354)</f>
        <v>Título 51</v>
      </c>
      <c r="H352" s="55"/>
      <c r="I352" s="55"/>
      <c r="J352" s="57"/>
      <c r="K352" s="55" t="s">
        <v>2</v>
      </c>
      <c r="L352" s="51" t="str">
        <f>CONCATENATE("&lt;!-- ",CONCATENATE(J352," ",J353)," --&gt;")</f>
        <v>&lt;!--   --&gt;</v>
      </c>
      <c r="M352" s="56"/>
      <c r="O352" s="54" t="str">
        <f>G352</f>
        <v>Título 51</v>
      </c>
      <c r="P352" s="55"/>
      <c r="Q352" s="55"/>
      <c r="R352" s="57"/>
      <c r="S352" s="55"/>
      <c r="T352" s="55" t="str">
        <f>CONCATENATE("&lt;!-- ",R352," --&gt;")</f>
        <v>&lt;!--  --&gt;</v>
      </c>
      <c r="U352" s="56"/>
      <c r="W352" s="54" t="str">
        <f>O352</f>
        <v>Título 51</v>
      </c>
      <c r="X352" s="55"/>
      <c r="Y352" s="55"/>
      <c r="Z352" s="57"/>
      <c r="AA352" s="55"/>
      <c r="AB352" s="55" t="str">
        <f>CONCATENATE("&lt;!-- ",Z352," --&gt;")</f>
        <v>&lt;!--  --&gt;</v>
      </c>
      <c r="AC352" s="56"/>
    </row>
    <row r="353" ht="14.4" spans="1:29">
      <c r="A353" s="58" t="s">
        <v>186</v>
      </c>
      <c r="C353" t="str">
        <f>IF(B354&lt;&gt;"",CONCATENATE("&lt;div id=",Comilla,B355,Comilla,"&gt;"),"")</f>
        <v/>
      </c>
      <c r="D353" s="59"/>
      <c r="E353" s="60" t="str">
        <f>CONCATENATE(" &lt;a href=",Comilla,"#",B355,Comilla," class=",Comilla,"submenu-item",Comilla,"&gt;",B352,"&lt;/a&gt;")</f>
        <v> &lt;a href="#" class="submenu-item"&gt;&lt;/a&gt;</v>
      </c>
      <c r="G353" s="61" t="s">
        <v>186</v>
      </c>
      <c r="H353" s="62" t="s">
        <v>187</v>
      </c>
      <c r="I353" s="63" t="s">
        <v>188</v>
      </c>
      <c r="J353" s="64"/>
      <c r="L353" t="str">
        <f>IF(J352&lt;&gt;"","&lt;div&gt;","")</f>
        <v/>
      </c>
      <c r="M353" s="65"/>
      <c r="O353" s="61" t="s">
        <v>186</v>
      </c>
      <c r="P353" s="62" t="s">
        <v>187</v>
      </c>
      <c r="Q353" s="63" t="s">
        <v>188</v>
      </c>
      <c r="T353" t="str">
        <f>CONCATENATE(P353,R353,Q353)</f>
        <v>&lt;div &gt;</v>
      </c>
      <c r="U353" s="65"/>
      <c r="W353" s="61" t="s">
        <v>186</v>
      </c>
      <c r="X353" s="62" t="s">
        <v>187</v>
      </c>
      <c r="Y353" s="63" t="s">
        <v>188</v>
      </c>
      <c r="AB353" t="str">
        <f>CONCATENATE(X353,Z353,Y353)</f>
        <v>&lt;div &gt;</v>
      </c>
      <c r="AC353" s="65"/>
    </row>
    <row r="354" spans="1:29">
      <c r="A354" s="66">
        <f>A347+1</f>
        <v>50</v>
      </c>
      <c r="B354" s="67" t="str">
        <f>IF(B352="","",SUBSTITUTE(SUBSTITUTE(SUBSTITUTE(SUBSTITUTE(SUBSTITUTE(SUBSTITUTE(SUBSTITUTE(SUBSTITUTE(LOWER(CONCATENATE(B352," ",B353))," ","-"),"&lt;",""),"&gt;",""),"ó","o"),"?",""),"¿",""),"é","e"),"á","a"))</f>
        <v/>
      </c>
      <c r="C354" s="68" t="str">
        <f>CONCATENATE("&lt;h3&gt;",SUBSTITUTE(CONCATENATE(B352," ",B353),"&lt;","&amp;lt;"),"&lt;/h3&gt;")</f>
        <v>&lt;h3&gt; &lt;/h3&gt;</v>
      </c>
      <c r="D354" s="59"/>
      <c r="E354" s="60"/>
      <c r="G354" s="61">
        <f>G347+1</f>
        <v>51</v>
      </c>
      <c r="J354" s="59"/>
      <c r="K354" s="59"/>
      <c r="L354" s="68" t="str">
        <f>CONCATENATE("&lt;h4&gt;",SUBSTITUTE(CONCATENATE(J352," ",J353),"&lt;","&amp;lt;"),"&lt;/h4&gt;")</f>
        <v>&lt;h4&gt; &lt;/h4&gt;</v>
      </c>
      <c r="M354" s="65"/>
      <c r="O354" s="61">
        <f>O347+1</f>
        <v>51</v>
      </c>
      <c r="T354" t="str">
        <f>CONCATENATE("&lt;h5&gt;",R352,"&lt;/h5&gt;")</f>
        <v>&lt;h5&gt;&lt;/h5&gt;</v>
      </c>
      <c r="U354" s="65"/>
      <c r="W354" s="61">
        <f>W347+1</f>
        <v>51</v>
      </c>
      <c r="AB354" t="str">
        <f>CONCATENATE("&lt;",$Y$1,"&gt;",Z352,"&lt;/",$Y$1,"&gt;")</f>
        <v>&lt;h6&gt;&lt;/h6&gt;</v>
      </c>
      <c r="AC354" s="65"/>
    </row>
    <row r="355" spans="1:29">
      <c r="A355" s="58" t="str">
        <f t="shared" ref="A355:A358" si="241">""</f>
        <v/>
      </c>
      <c r="B355" s="67" t="str">
        <f>IF(B354&lt;&gt;"",IF(B353="",LEFT(B354,LEN(B354)-1),B354),"")</f>
        <v/>
      </c>
      <c r="D355" s="59"/>
      <c r="E355" s="60"/>
      <c r="G355" s="61" t="s">
        <v>189</v>
      </c>
      <c r="J355" s="64"/>
      <c r="K355" t="s">
        <v>2</v>
      </c>
      <c r="L355" t="str">
        <f>IF(J355&lt;&gt;"",CONCATENATE("&lt;p&gt;",J355,"&lt;/p&gt;"),"")</f>
        <v/>
      </c>
      <c r="M355" s="65"/>
      <c r="O355" s="61" t="s">
        <v>189</v>
      </c>
      <c r="R355" s="64"/>
      <c r="S355" t="s">
        <v>2</v>
      </c>
      <c r="T355" t="str">
        <f>IF(R355&lt;&gt;"",R355,"")</f>
        <v/>
      </c>
      <c r="U355" s="65"/>
      <c r="W355" s="61" t="s">
        <v>189</v>
      </c>
      <c r="Z355" s="64"/>
      <c r="AA355" t="s">
        <v>2</v>
      </c>
      <c r="AB355" t="str">
        <f>IF(Z355&lt;&gt;"",Z355,"")</f>
        <v/>
      </c>
      <c r="AC355" s="65"/>
    </row>
    <row r="356" spans="1:29">
      <c r="A356" s="58" t="s">
        <v>189</v>
      </c>
      <c r="B356" s="64"/>
      <c r="C356" t="s">
        <v>117</v>
      </c>
      <c r="D356" s="59"/>
      <c r="E356" s="60"/>
      <c r="G356" s="61" t="str">
        <f t="shared" ref="G356:G358" si="242">""</f>
        <v/>
      </c>
      <c r="L356" t="s">
        <v>117</v>
      </c>
      <c r="M356" s="65"/>
      <c r="O356" s="61" t="str">
        <f t="shared" ref="O356:O358" si="243">""</f>
        <v/>
      </c>
      <c r="T356" t="s">
        <v>117</v>
      </c>
      <c r="U356" s="65"/>
      <c r="W356" s="61" t="str">
        <f t="shared" ref="W356:W358" si="244">""</f>
        <v/>
      </c>
      <c r="AB356" t="s">
        <v>117</v>
      </c>
      <c r="AC356" s="65"/>
    </row>
    <row r="357" ht="14.55" spans="1:29">
      <c r="A357" s="69" t="str">
        <f t="shared" si="241"/>
        <v/>
      </c>
      <c r="B357" s="49"/>
      <c r="C357" s="49" t="str">
        <f>CONCATENATE("&lt;!-- ",CONCATENATE(B352," ",B353," fin")," --&gt;")</f>
        <v>&lt;!--   fin --&gt;</v>
      </c>
      <c r="D357" s="70"/>
      <c r="E357" s="71"/>
      <c r="G357" s="72" t="str">
        <f t="shared" si="242"/>
        <v/>
      </c>
      <c r="H357" s="49"/>
      <c r="I357" s="49"/>
      <c r="J357" s="49"/>
      <c r="K357" s="49"/>
      <c r="L357" s="49" t="str">
        <f>CONCATENATE("&lt;!-- ",CONCATENATE(J352," ",J353," fin")," --&gt;")</f>
        <v>&lt;!--   fin --&gt;</v>
      </c>
      <c r="M357" s="73"/>
      <c r="O357" s="72" t="str">
        <f t="shared" si="243"/>
        <v/>
      </c>
      <c r="P357" s="49"/>
      <c r="Q357" s="49"/>
      <c r="R357" s="49"/>
      <c r="S357" s="49"/>
      <c r="T357" s="49" t="str">
        <f>CONCATENATE("&lt;!-- ",R352," fin --&gt;")</f>
        <v>&lt;!--  fin --&gt;</v>
      </c>
      <c r="U357" s="73"/>
      <c r="W357" s="72" t="str">
        <f t="shared" si="244"/>
        <v/>
      </c>
      <c r="X357" s="49"/>
      <c r="Y357" s="49"/>
      <c r="Z357" s="49"/>
      <c r="AA357" s="49"/>
      <c r="AB357" s="49" t="str">
        <f>CONCATENATE("&lt;!-- ",Z352," fin --&gt;")</f>
        <v>&lt;!--  fin --&gt;</v>
      </c>
      <c r="AC357" s="73"/>
    </row>
    <row r="358" ht="14.55" spans="1:29">
      <c r="A358" s="74" t="str">
        <f t="shared" si="241"/>
        <v/>
      </c>
      <c r="B358" s="52"/>
      <c r="C358" s="49" t="str">
        <f>""</f>
        <v/>
      </c>
      <c r="D358" s="49"/>
      <c r="E358" s="49"/>
      <c r="G358" s="61" t="str">
        <f t="shared" si="242"/>
        <v/>
      </c>
      <c r="H358" s="75"/>
      <c r="I358" s="75"/>
      <c r="J358" s="52"/>
      <c r="K358" s="55"/>
      <c r="L358" s="49" t="str">
        <f>""</f>
        <v/>
      </c>
      <c r="O358" s="54" t="str">
        <f t="shared" si="243"/>
        <v/>
      </c>
      <c r="P358" s="55"/>
      <c r="Q358" s="55"/>
      <c r="R358" s="52"/>
      <c r="S358" s="55"/>
      <c r="T358" s="49" t="str">
        <f>""</f>
        <v/>
      </c>
      <c r="W358" s="54" t="str">
        <f t="shared" si="244"/>
        <v/>
      </c>
      <c r="X358" s="55"/>
      <c r="Y358" s="55"/>
      <c r="Z358" s="52"/>
      <c r="AA358" s="55"/>
      <c r="AB358" s="49" t="str">
        <f>""</f>
        <v/>
      </c>
    </row>
    <row r="359" spans="1:29">
      <c r="A359" s="50" t="str">
        <f>CONCATENATE("Título ",A361)</f>
        <v>Título 51</v>
      </c>
      <c r="B359" s="57"/>
      <c r="C359" s="51" t="str">
        <f>CONCATENATE("&lt;!-- ",CONCATENATE(B359," ",B360)," --&gt;")</f>
        <v>&lt;!--   --&gt;</v>
      </c>
      <c r="D359" s="52"/>
      <c r="E359" s="53" t="str">
        <f>""</f>
        <v/>
      </c>
      <c r="G359" s="54" t="str">
        <f>CONCATENATE("Título ",G361)</f>
        <v>Título 52</v>
      </c>
      <c r="H359" s="55"/>
      <c r="I359" s="55"/>
      <c r="J359" s="57"/>
      <c r="K359" s="55" t="s">
        <v>2</v>
      </c>
      <c r="L359" s="51" t="str">
        <f>CONCATENATE("&lt;!-- ",CONCATENATE(J359," ",J360)," --&gt;")</f>
        <v>&lt;!--   --&gt;</v>
      </c>
      <c r="M359" s="56"/>
      <c r="O359" s="54" t="str">
        <f>G359</f>
        <v>Título 52</v>
      </c>
      <c r="P359" s="55"/>
      <c r="Q359" s="55"/>
      <c r="R359" s="57"/>
      <c r="S359" s="55"/>
      <c r="T359" s="55" t="str">
        <f>CONCATENATE("&lt;!-- ",R359," --&gt;")</f>
        <v>&lt;!--  --&gt;</v>
      </c>
      <c r="U359" s="56"/>
      <c r="W359" s="54" t="str">
        <f>O359</f>
        <v>Título 52</v>
      </c>
      <c r="X359" s="55"/>
      <c r="Y359" s="55"/>
      <c r="Z359" s="57"/>
      <c r="AA359" s="55"/>
      <c r="AB359" s="55" t="str">
        <f>CONCATENATE("&lt;!-- ",Z359," --&gt;")</f>
        <v>&lt;!--  --&gt;</v>
      </c>
      <c r="AC359" s="56"/>
    </row>
    <row r="360" ht="14.4" spans="1:29">
      <c r="A360" s="58" t="s">
        <v>186</v>
      </c>
      <c r="C360" t="str">
        <f>IF(B361&lt;&gt;"",CONCATENATE("&lt;div id=",Comilla,B362,Comilla,"&gt;"),"")</f>
        <v/>
      </c>
      <c r="D360" s="59"/>
      <c r="E360" s="60" t="str">
        <f>CONCATENATE(" &lt;a href=",Comilla,"#",B362,Comilla," class=",Comilla,"submenu-item",Comilla,"&gt;",B359,"&lt;/a&gt;")</f>
        <v> &lt;a href="#" class="submenu-item"&gt;&lt;/a&gt;</v>
      </c>
      <c r="G360" s="61" t="s">
        <v>186</v>
      </c>
      <c r="H360" s="62" t="s">
        <v>187</v>
      </c>
      <c r="I360" s="63" t="s">
        <v>188</v>
      </c>
      <c r="J360" s="64"/>
      <c r="L360" t="str">
        <f>IF(J359&lt;&gt;"","&lt;div&gt;","")</f>
        <v/>
      </c>
      <c r="M360" s="65"/>
      <c r="O360" s="61" t="s">
        <v>186</v>
      </c>
      <c r="P360" s="62" t="s">
        <v>187</v>
      </c>
      <c r="Q360" s="63" t="s">
        <v>188</v>
      </c>
      <c r="T360" t="str">
        <f>CONCATENATE(P360,R360,Q360)</f>
        <v>&lt;div &gt;</v>
      </c>
      <c r="U360" s="65"/>
      <c r="W360" s="61" t="s">
        <v>186</v>
      </c>
      <c r="X360" s="62" t="s">
        <v>187</v>
      </c>
      <c r="Y360" s="63" t="s">
        <v>188</v>
      </c>
      <c r="AB360" t="str">
        <f>CONCATENATE(X360,Z360,Y360)</f>
        <v>&lt;div &gt;</v>
      </c>
      <c r="AC360" s="65"/>
    </row>
    <row r="361" spans="1:29">
      <c r="A361" s="66">
        <f>A354+1</f>
        <v>51</v>
      </c>
      <c r="B361" s="67" t="str">
        <f>IF(B359="","",SUBSTITUTE(SUBSTITUTE(SUBSTITUTE(SUBSTITUTE(SUBSTITUTE(SUBSTITUTE(SUBSTITUTE(SUBSTITUTE(LOWER(CONCATENATE(B359," ",B360))," ","-"),"&lt;",""),"&gt;",""),"ó","o"),"?",""),"¿",""),"é","e"),"á","a"))</f>
        <v/>
      </c>
      <c r="C361" s="68" t="str">
        <f>CONCATENATE("&lt;h3&gt;",SUBSTITUTE(CONCATENATE(B359," ",B360),"&lt;","&amp;lt;"),"&lt;/h3&gt;")</f>
        <v>&lt;h3&gt; &lt;/h3&gt;</v>
      </c>
      <c r="D361" s="59"/>
      <c r="E361" s="60"/>
      <c r="G361" s="61">
        <f>G354+1</f>
        <v>52</v>
      </c>
      <c r="J361" s="59"/>
      <c r="K361" s="59"/>
      <c r="L361" s="68" t="str">
        <f>CONCATENATE("&lt;h4&gt;",SUBSTITUTE(CONCATENATE(J359," ",J360),"&lt;","&amp;lt;"),"&lt;/h4&gt;")</f>
        <v>&lt;h4&gt; &lt;/h4&gt;</v>
      </c>
      <c r="M361" s="65"/>
      <c r="O361" s="61">
        <f>O354+1</f>
        <v>52</v>
      </c>
      <c r="T361" t="str">
        <f>CONCATENATE("&lt;h5&gt;",R359,"&lt;/h5&gt;")</f>
        <v>&lt;h5&gt;&lt;/h5&gt;</v>
      </c>
      <c r="U361" s="65"/>
      <c r="W361" s="61">
        <f>W354+1</f>
        <v>52</v>
      </c>
      <c r="AB361" t="str">
        <f>CONCATENATE("&lt;",$Y$1,"&gt;",Z359,"&lt;/",$Y$1,"&gt;")</f>
        <v>&lt;h6&gt;&lt;/h6&gt;</v>
      </c>
      <c r="AC361" s="65"/>
    </row>
    <row r="362" spans="1:29">
      <c r="A362" s="58" t="str">
        <f t="shared" ref="A362:A365" si="245">""</f>
        <v/>
      </c>
      <c r="B362" s="67" t="str">
        <f>IF(B361&lt;&gt;"",IF(B360="",LEFT(B361,LEN(B361)-1),B361),"")</f>
        <v/>
      </c>
      <c r="D362" s="59"/>
      <c r="E362" s="60"/>
      <c r="G362" s="61" t="s">
        <v>189</v>
      </c>
      <c r="J362" s="64"/>
      <c r="K362" t="s">
        <v>2</v>
      </c>
      <c r="L362" t="str">
        <f>IF(J362&lt;&gt;"",CONCATENATE("&lt;p&gt;",J362,"&lt;/p&gt;"),"")</f>
        <v/>
      </c>
      <c r="M362" s="65"/>
      <c r="O362" s="61" t="s">
        <v>189</v>
      </c>
      <c r="R362" s="64"/>
      <c r="S362" t="s">
        <v>2</v>
      </c>
      <c r="T362" t="str">
        <f>IF(R362&lt;&gt;"",R362,"")</f>
        <v/>
      </c>
      <c r="U362" s="65"/>
      <c r="W362" s="61" t="s">
        <v>189</v>
      </c>
      <c r="Z362" s="64"/>
      <c r="AA362" t="s">
        <v>2</v>
      </c>
      <c r="AB362" t="str">
        <f>IF(Z362&lt;&gt;"",Z362,"")</f>
        <v/>
      </c>
      <c r="AC362" s="65"/>
    </row>
    <row r="363" spans="1:29">
      <c r="A363" s="58" t="s">
        <v>189</v>
      </c>
      <c r="B363" s="64"/>
      <c r="C363" t="s">
        <v>117</v>
      </c>
      <c r="D363" s="59"/>
      <c r="E363" s="60"/>
      <c r="G363" s="61" t="str">
        <f t="shared" ref="G363:G365" si="246">""</f>
        <v/>
      </c>
      <c r="L363" t="s">
        <v>117</v>
      </c>
      <c r="M363" s="65"/>
      <c r="O363" s="61" t="str">
        <f t="shared" ref="O363:O365" si="247">""</f>
        <v/>
      </c>
      <c r="T363" t="s">
        <v>117</v>
      </c>
      <c r="U363" s="65"/>
      <c r="W363" s="61" t="str">
        <f t="shared" ref="W363:W365" si="248">""</f>
        <v/>
      </c>
      <c r="AB363" t="s">
        <v>117</v>
      </c>
      <c r="AC363" s="65"/>
    </row>
    <row r="364" ht="14.55" spans="1:29">
      <c r="A364" s="69" t="str">
        <f t="shared" si="245"/>
        <v/>
      </c>
      <c r="B364" s="49"/>
      <c r="C364" s="49" t="str">
        <f>CONCATENATE("&lt;!-- ",CONCATENATE(B359," ",B360," fin")," --&gt;")</f>
        <v>&lt;!--   fin --&gt;</v>
      </c>
      <c r="D364" s="70"/>
      <c r="E364" s="71"/>
      <c r="G364" s="72" t="str">
        <f t="shared" si="246"/>
        <v/>
      </c>
      <c r="H364" s="49"/>
      <c r="I364" s="49"/>
      <c r="J364" s="49"/>
      <c r="K364" s="49"/>
      <c r="L364" s="49" t="str">
        <f>CONCATENATE("&lt;!-- ",CONCATENATE(J359," ",J360," fin")," --&gt;")</f>
        <v>&lt;!--   fin --&gt;</v>
      </c>
      <c r="M364" s="73"/>
      <c r="O364" s="72" t="str">
        <f t="shared" si="247"/>
        <v/>
      </c>
      <c r="P364" s="49"/>
      <c r="Q364" s="49"/>
      <c r="R364" s="49"/>
      <c r="S364" s="49"/>
      <c r="T364" s="49" t="str">
        <f>CONCATENATE("&lt;!-- ",R359," fin --&gt;")</f>
        <v>&lt;!--  fin --&gt;</v>
      </c>
      <c r="U364" s="73"/>
      <c r="W364" s="72" t="str">
        <f t="shared" si="248"/>
        <v/>
      </c>
      <c r="X364" s="49"/>
      <c r="Y364" s="49"/>
      <c r="Z364" s="49"/>
      <c r="AA364" s="49"/>
      <c r="AB364" s="49" t="str">
        <f>CONCATENATE("&lt;!-- ",Z359," fin --&gt;")</f>
        <v>&lt;!--  fin --&gt;</v>
      </c>
      <c r="AC364" s="73"/>
    </row>
    <row r="365" ht="14.55" spans="1:29">
      <c r="A365" s="74" t="str">
        <f t="shared" si="245"/>
        <v/>
      </c>
      <c r="B365" s="52"/>
      <c r="C365" s="49" t="str">
        <f>""</f>
        <v/>
      </c>
      <c r="D365" s="49"/>
      <c r="E365" s="49"/>
      <c r="G365" s="61" t="str">
        <f t="shared" si="246"/>
        <v/>
      </c>
      <c r="H365" s="75"/>
      <c r="I365" s="75"/>
      <c r="J365" s="52"/>
      <c r="K365" s="55"/>
      <c r="L365" s="49" t="str">
        <f>""</f>
        <v/>
      </c>
      <c r="O365" s="54" t="str">
        <f t="shared" si="247"/>
        <v/>
      </c>
      <c r="P365" s="55"/>
      <c r="Q365" s="55"/>
      <c r="R365" s="52"/>
      <c r="S365" s="55"/>
      <c r="T365" s="49" t="str">
        <f>""</f>
        <v/>
      </c>
      <c r="W365" s="54" t="str">
        <f t="shared" si="248"/>
        <v/>
      </c>
      <c r="X365" s="55"/>
      <c r="Y365" s="55"/>
      <c r="Z365" s="52"/>
      <c r="AA365" s="55"/>
      <c r="AB365" s="49" t="str">
        <f>""</f>
        <v/>
      </c>
    </row>
    <row r="366" spans="1:29">
      <c r="A366" s="50" t="str">
        <f>CONCATENATE("Título ",A368)</f>
        <v>Título 52</v>
      </c>
      <c r="B366" s="57"/>
      <c r="C366" s="51" t="str">
        <f>CONCATENATE("&lt;!-- ",CONCATENATE(B366," ",B367)," --&gt;")</f>
        <v>&lt;!--   --&gt;</v>
      </c>
      <c r="D366" s="52"/>
      <c r="E366" s="53" t="str">
        <f>""</f>
        <v/>
      </c>
      <c r="G366" s="54" t="str">
        <f>CONCATENATE("Título ",G368)</f>
        <v>Título 53</v>
      </c>
      <c r="H366" s="55"/>
      <c r="I366" s="55"/>
      <c r="J366" s="57"/>
      <c r="K366" s="55" t="s">
        <v>2</v>
      </c>
      <c r="L366" s="51" t="str">
        <f>CONCATENATE("&lt;!-- ",CONCATENATE(J366," ",J367)," --&gt;")</f>
        <v>&lt;!--   --&gt;</v>
      </c>
      <c r="M366" s="56"/>
      <c r="O366" s="54" t="str">
        <f>G366</f>
        <v>Título 53</v>
      </c>
      <c r="P366" s="55"/>
      <c r="Q366" s="55"/>
      <c r="R366" s="57"/>
      <c r="S366" s="55"/>
      <c r="T366" s="55" t="str">
        <f>CONCATENATE("&lt;!-- ",R366," --&gt;")</f>
        <v>&lt;!--  --&gt;</v>
      </c>
      <c r="U366" s="56"/>
      <c r="W366" s="54" t="str">
        <f>O366</f>
        <v>Título 53</v>
      </c>
      <c r="X366" s="55"/>
      <c r="Y366" s="55"/>
      <c r="Z366" s="57"/>
      <c r="AA366" s="55"/>
      <c r="AB366" s="55" t="str">
        <f>CONCATENATE("&lt;!-- ",Z366," --&gt;")</f>
        <v>&lt;!--  --&gt;</v>
      </c>
      <c r="AC366" s="56"/>
    </row>
    <row r="367" ht="14.4" spans="1:29">
      <c r="A367" s="58" t="s">
        <v>186</v>
      </c>
      <c r="C367" t="str">
        <f>IF(B368&lt;&gt;"",CONCATENATE("&lt;div id=",Comilla,B369,Comilla,"&gt;"),"")</f>
        <v/>
      </c>
      <c r="D367" s="59"/>
      <c r="E367" s="60" t="str">
        <f>CONCATENATE(" &lt;a href=",Comilla,"#",B369,Comilla," class=",Comilla,"submenu-item",Comilla,"&gt;",B366,"&lt;/a&gt;")</f>
        <v> &lt;a href="#" class="submenu-item"&gt;&lt;/a&gt;</v>
      </c>
      <c r="G367" s="61" t="s">
        <v>186</v>
      </c>
      <c r="H367" s="62" t="s">
        <v>187</v>
      </c>
      <c r="I367" s="63" t="s">
        <v>188</v>
      </c>
      <c r="J367" s="64"/>
      <c r="L367" t="str">
        <f>IF(J366&lt;&gt;"","&lt;div&gt;","")</f>
        <v/>
      </c>
      <c r="M367" s="65"/>
      <c r="O367" s="61" t="s">
        <v>186</v>
      </c>
      <c r="P367" s="62" t="s">
        <v>187</v>
      </c>
      <c r="Q367" s="63" t="s">
        <v>188</v>
      </c>
      <c r="T367" t="str">
        <f>CONCATENATE(P367,R367,Q367)</f>
        <v>&lt;div &gt;</v>
      </c>
      <c r="U367" s="65"/>
      <c r="W367" s="61" t="s">
        <v>186</v>
      </c>
      <c r="X367" s="62" t="s">
        <v>187</v>
      </c>
      <c r="Y367" s="63" t="s">
        <v>188</v>
      </c>
      <c r="AB367" t="str">
        <f>CONCATENATE(X367,Z367,Y367)</f>
        <v>&lt;div &gt;</v>
      </c>
      <c r="AC367" s="65"/>
    </row>
    <row r="368" spans="1:29">
      <c r="A368" s="66">
        <f>A361+1</f>
        <v>52</v>
      </c>
      <c r="B368" s="67" t="str">
        <f>IF(B366="","",SUBSTITUTE(SUBSTITUTE(SUBSTITUTE(SUBSTITUTE(SUBSTITUTE(SUBSTITUTE(SUBSTITUTE(SUBSTITUTE(LOWER(CONCATENATE(B366," ",B367))," ","-"),"&lt;",""),"&gt;",""),"ó","o"),"?",""),"¿",""),"é","e"),"á","a"))</f>
        <v/>
      </c>
      <c r="C368" s="68" t="str">
        <f>CONCATENATE("&lt;h3&gt;",SUBSTITUTE(CONCATENATE(B366," ",B367),"&lt;","&amp;lt;"),"&lt;/h3&gt;")</f>
        <v>&lt;h3&gt; &lt;/h3&gt;</v>
      </c>
      <c r="D368" s="59"/>
      <c r="E368" s="60"/>
      <c r="G368" s="61">
        <f>G361+1</f>
        <v>53</v>
      </c>
      <c r="J368" s="59"/>
      <c r="K368" s="59"/>
      <c r="L368" s="68" t="str">
        <f>CONCATENATE("&lt;h4&gt;",SUBSTITUTE(CONCATENATE(J366," ",J367),"&lt;","&amp;lt;"),"&lt;/h4&gt;")</f>
        <v>&lt;h4&gt; &lt;/h4&gt;</v>
      </c>
      <c r="M368" s="65"/>
      <c r="O368" s="61">
        <f>O361+1</f>
        <v>53</v>
      </c>
      <c r="T368" t="str">
        <f>CONCATENATE("&lt;h5&gt;",R366,"&lt;/h5&gt;")</f>
        <v>&lt;h5&gt;&lt;/h5&gt;</v>
      </c>
      <c r="U368" s="65"/>
      <c r="W368" s="61">
        <f>W361+1</f>
        <v>53</v>
      </c>
      <c r="AB368" t="str">
        <f>CONCATENATE("&lt;",$Y$1,"&gt;",Z366,"&lt;/",$Y$1,"&gt;")</f>
        <v>&lt;h6&gt;&lt;/h6&gt;</v>
      </c>
      <c r="AC368" s="65"/>
    </row>
    <row r="369" spans="1:29">
      <c r="A369" s="58" t="str">
        <f t="shared" ref="A369:A372" si="249">""</f>
        <v/>
      </c>
      <c r="B369" s="67" t="str">
        <f>IF(B368&lt;&gt;"",IF(B367="",LEFT(B368,LEN(B368)-1),B368),"")</f>
        <v/>
      </c>
      <c r="D369" s="59"/>
      <c r="E369" s="60"/>
      <c r="G369" s="61" t="s">
        <v>189</v>
      </c>
      <c r="J369" s="64"/>
      <c r="K369" t="s">
        <v>2</v>
      </c>
      <c r="L369" t="str">
        <f>IF(J369&lt;&gt;"",CONCATENATE("&lt;p&gt;",J369,"&lt;/p&gt;"),"")</f>
        <v/>
      </c>
      <c r="M369" s="65"/>
      <c r="O369" s="61" t="s">
        <v>189</v>
      </c>
      <c r="R369" s="64"/>
      <c r="S369" t="s">
        <v>2</v>
      </c>
      <c r="T369" t="str">
        <f>IF(R369&lt;&gt;"",R369,"")</f>
        <v/>
      </c>
      <c r="U369" s="65"/>
      <c r="W369" s="61" t="s">
        <v>189</v>
      </c>
      <c r="Z369" s="64"/>
      <c r="AA369" t="s">
        <v>2</v>
      </c>
      <c r="AB369" t="str">
        <f>IF(Z369&lt;&gt;"",Z369,"")</f>
        <v/>
      </c>
      <c r="AC369" s="65"/>
    </row>
    <row r="370" spans="1:29">
      <c r="A370" s="58" t="s">
        <v>189</v>
      </c>
      <c r="B370" s="64"/>
      <c r="C370" t="s">
        <v>117</v>
      </c>
      <c r="D370" s="59"/>
      <c r="E370" s="60"/>
      <c r="G370" s="61" t="str">
        <f t="shared" ref="G370:G372" si="250">""</f>
        <v/>
      </c>
      <c r="L370" t="s">
        <v>117</v>
      </c>
      <c r="M370" s="65"/>
      <c r="O370" s="61" t="str">
        <f t="shared" ref="O370:O372" si="251">""</f>
        <v/>
      </c>
      <c r="T370" t="s">
        <v>117</v>
      </c>
      <c r="U370" s="65"/>
      <c r="W370" s="61" t="str">
        <f t="shared" ref="W370:W372" si="252">""</f>
        <v/>
      </c>
      <c r="AB370" t="s">
        <v>117</v>
      </c>
      <c r="AC370" s="65"/>
    </row>
    <row r="371" ht="14.55" spans="1:29">
      <c r="A371" s="69" t="str">
        <f t="shared" si="249"/>
        <v/>
      </c>
      <c r="B371" s="49"/>
      <c r="C371" s="49" t="str">
        <f>CONCATENATE("&lt;!-- ",CONCATENATE(B366," ",B367," fin")," --&gt;")</f>
        <v>&lt;!--   fin --&gt;</v>
      </c>
      <c r="D371" s="70"/>
      <c r="E371" s="71"/>
      <c r="G371" s="72" t="str">
        <f t="shared" si="250"/>
        <v/>
      </c>
      <c r="H371" s="49"/>
      <c r="I371" s="49"/>
      <c r="J371" s="49"/>
      <c r="K371" s="49"/>
      <c r="L371" s="49" t="str">
        <f>CONCATENATE("&lt;!-- ",CONCATENATE(J366," ",J367," fin")," --&gt;")</f>
        <v>&lt;!--   fin --&gt;</v>
      </c>
      <c r="M371" s="73"/>
      <c r="O371" s="72" t="str">
        <f t="shared" si="251"/>
        <v/>
      </c>
      <c r="P371" s="49"/>
      <c r="Q371" s="49"/>
      <c r="R371" s="49"/>
      <c r="S371" s="49"/>
      <c r="T371" s="49" t="str">
        <f>CONCATENATE("&lt;!-- ",R366," fin --&gt;")</f>
        <v>&lt;!--  fin --&gt;</v>
      </c>
      <c r="U371" s="73"/>
      <c r="W371" s="72" t="str">
        <f t="shared" si="252"/>
        <v/>
      </c>
      <c r="X371" s="49"/>
      <c r="Y371" s="49"/>
      <c r="Z371" s="49"/>
      <c r="AA371" s="49"/>
      <c r="AB371" s="49" t="str">
        <f>CONCATENATE("&lt;!-- ",Z366," fin --&gt;")</f>
        <v>&lt;!--  fin --&gt;</v>
      </c>
      <c r="AC371" s="73"/>
    </row>
    <row r="372" ht="14.55" spans="1:29">
      <c r="A372" s="74" t="str">
        <f t="shared" si="249"/>
        <v/>
      </c>
      <c r="B372" s="52"/>
      <c r="C372" s="49" t="str">
        <f>""</f>
        <v/>
      </c>
      <c r="D372" s="49"/>
      <c r="E372" s="49"/>
      <c r="G372" s="61" t="str">
        <f t="shared" si="250"/>
        <v/>
      </c>
      <c r="H372" s="75"/>
      <c r="I372" s="75"/>
      <c r="J372" s="52"/>
      <c r="K372" s="55"/>
      <c r="L372" s="49" t="str">
        <f>""</f>
        <v/>
      </c>
      <c r="O372" s="54" t="str">
        <f t="shared" si="251"/>
        <v/>
      </c>
      <c r="P372" s="55"/>
      <c r="Q372" s="55"/>
      <c r="R372" s="52"/>
      <c r="S372" s="55"/>
      <c r="T372" s="49" t="str">
        <f>""</f>
        <v/>
      </c>
      <c r="W372" s="54" t="str">
        <f t="shared" si="252"/>
        <v/>
      </c>
      <c r="X372" s="55"/>
      <c r="Y372" s="55"/>
      <c r="Z372" s="52"/>
      <c r="AA372" s="55"/>
      <c r="AB372" s="49" t="str">
        <f>""</f>
        <v/>
      </c>
    </row>
    <row r="373" spans="1:29">
      <c r="A373" s="50" t="str">
        <f>CONCATENATE("Título ",A375)</f>
        <v>Título 53</v>
      </c>
      <c r="B373" s="57"/>
      <c r="C373" s="51" t="str">
        <f>CONCATENATE("&lt;!-- ",CONCATENATE(B373," ",B374)," --&gt;")</f>
        <v>&lt;!--   --&gt;</v>
      </c>
      <c r="D373" s="52"/>
      <c r="E373" s="53" t="str">
        <f>""</f>
        <v/>
      </c>
      <c r="G373" s="54" t="str">
        <f>CONCATENATE("Título ",G375)</f>
        <v>Título 54</v>
      </c>
      <c r="H373" s="55"/>
      <c r="I373" s="55"/>
      <c r="J373" s="57"/>
      <c r="K373" s="55" t="s">
        <v>2</v>
      </c>
      <c r="L373" s="51" t="str">
        <f>CONCATENATE("&lt;!-- ",CONCATENATE(J373," ",J374)," --&gt;")</f>
        <v>&lt;!--   --&gt;</v>
      </c>
      <c r="M373" s="56"/>
      <c r="O373" s="54" t="str">
        <f>G373</f>
        <v>Título 54</v>
      </c>
      <c r="P373" s="55"/>
      <c r="Q373" s="55"/>
      <c r="R373" s="57"/>
      <c r="S373" s="55"/>
      <c r="T373" s="55" t="str">
        <f>CONCATENATE("&lt;!-- ",R373," --&gt;")</f>
        <v>&lt;!--  --&gt;</v>
      </c>
      <c r="U373" s="56"/>
      <c r="W373" s="54" t="str">
        <f>O373</f>
        <v>Título 54</v>
      </c>
      <c r="X373" s="55"/>
      <c r="Y373" s="55"/>
      <c r="Z373" s="57"/>
      <c r="AA373" s="55"/>
      <c r="AB373" s="55" t="str">
        <f>CONCATENATE("&lt;!-- ",Z373," --&gt;")</f>
        <v>&lt;!--  --&gt;</v>
      </c>
      <c r="AC373" s="56"/>
    </row>
    <row r="374" ht="14.4" spans="1:29">
      <c r="A374" s="58" t="s">
        <v>186</v>
      </c>
      <c r="C374" t="str">
        <f>IF(B375&lt;&gt;"",CONCATENATE("&lt;div id=",Comilla,B376,Comilla,"&gt;"),"")</f>
        <v/>
      </c>
      <c r="D374" s="59"/>
      <c r="E374" s="60" t="str">
        <f>CONCATENATE(" &lt;a href=",Comilla,"#",B376,Comilla," class=",Comilla,"submenu-item",Comilla,"&gt;",B373,"&lt;/a&gt;")</f>
        <v> &lt;a href="#" class="submenu-item"&gt;&lt;/a&gt;</v>
      </c>
      <c r="G374" s="61" t="s">
        <v>186</v>
      </c>
      <c r="H374" s="62" t="s">
        <v>187</v>
      </c>
      <c r="I374" s="63" t="s">
        <v>188</v>
      </c>
      <c r="J374" s="64"/>
      <c r="L374" t="str">
        <f>IF(J373&lt;&gt;"","&lt;div&gt;","")</f>
        <v/>
      </c>
      <c r="M374" s="65"/>
      <c r="O374" s="61" t="s">
        <v>186</v>
      </c>
      <c r="P374" s="62" t="s">
        <v>187</v>
      </c>
      <c r="Q374" s="63" t="s">
        <v>188</v>
      </c>
      <c r="T374" t="str">
        <f>CONCATENATE(P374,R374,Q374)</f>
        <v>&lt;div &gt;</v>
      </c>
      <c r="U374" s="65"/>
      <c r="W374" s="61" t="s">
        <v>186</v>
      </c>
      <c r="X374" s="62" t="s">
        <v>187</v>
      </c>
      <c r="Y374" s="63" t="s">
        <v>188</v>
      </c>
      <c r="AB374" t="str">
        <f>CONCATENATE(X374,Z374,Y374)</f>
        <v>&lt;div &gt;</v>
      </c>
      <c r="AC374" s="65"/>
    </row>
    <row r="375" spans="1:29">
      <c r="A375" s="66">
        <f>A368+1</f>
        <v>53</v>
      </c>
      <c r="B375" s="67" t="str">
        <f>IF(B373="","",SUBSTITUTE(SUBSTITUTE(SUBSTITUTE(SUBSTITUTE(SUBSTITUTE(SUBSTITUTE(SUBSTITUTE(SUBSTITUTE(LOWER(CONCATENATE(B373," ",B374))," ","-"),"&lt;",""),"&gt;",""),"ó","o"),"?",""),"¿",""),"é","e"),"á","a"))</f>
        <v/>
      </c>
      <c r="C375" s="68" t="str">
        <f>CONCATENATE("&lt;h3&gt;",SUBSTITUTE(CONCATENATE(B373," ",B374),"&lt;","&amp;lt;"),"&lt;/h3&gt;")</f>
        <v>&lt;h3&gt; &lt;/h3&gt;</v>
      </c>
      <c r="D375" s="59"/>
      <c r="E375" s="60"/>
      <c r="G375" s="61">
        <f>G368+1</f>
        <v>54</v>
      </c>
      <c r="J375" s="59"/>
      <c r="K375" s="59"/>
      <c r="L375" s="68" t="str">
        <f>CONCATENATE("&lt;h4&gt;",SUBSTITUTE(CONCATENATE(J373," ",J374),"&lt;","&amp;lt;"),"&lt;/h4&gt;")</f>
        <v>&lt;h4&gt; &lt;/h4&gt;</v>
      </c>
      <c r="M375" s="65"/>
      <c r="O375" s="61">
        <f>O368+1</f>
        <v>54</v>
      </c>
      <c r="T375" t="str">
        <f>CONCATENATE("&lt;h5&gt;",R373,"&lt;/h5&gt;")</f>
        <v>&lt;h5&gt;&lt;/h5&gt;</v>
      </c>
      <c r="U375" s="65"/>
      <c r="W375" s="61">
        <f>W368+1</f>
        <v>54</v>
      </c>
      <c r="AB375" t="str">
        <f>CONCATENATE("&lt;",$Y$1,"&gt;",Z373,"&lt;/",$Y$1,"&gt;")</f>
        <v>&lt;h6&gt;&lt;/h6&gt;</v>
      </c>
      <c r="AC375" s="65"/>
    </row>
    <row r="376" spans="1:29">
      <c r="A376" s="58" t="str">
        <f t="shared" ref="A376:A379" si="253">""</f>
        <v/>
      </c>
      <c r="B376" s="67" t="str">
        <f>IF(B375&lt;&gt;"",IF(B374="",LEFT(B375,LEN(B375)-1),B375),"")</f>
        <v/>
      </c>
      <c r="D376" s="59"/>
      <c r="E376" s="60"/>
      <c r="G376" s="61" t="s">
        <v>189</v>
      </c>
      <c r="J376" s="64"/>
      <c r="K376" t="s">
        <v>2</v>
      </c>
      <c r="L376" t="str">
        <f>IF(J376&lt;&gt;"",CONCATENATE("&lt;p&gt;",J376,"&lt;/p&gt;"),"")</f>
        <v/>
      </c>
      <c r="M376" s="65"/>
      <c r="O376" s="61" t="s">
        <v>189</v>
      </c>
      <c r="R376" s="64"/>
      <c r="S376" t="s">
        <v>2</v>
      </c>
      <c r="T376" t="str">
        <f>IF(R376&lt;&gt;"",R376,"")</f>
        <v/>
      </c>
      <c r="U376" s="65"/>
      <c r="W376" s="61" t="s">
        <v>189</v>
      </c>
      <c r="Z376" s="64"/>
      <c r="AA376" t="s">
        <v>2</v>
      </c>
      <c r="AB376" t="str">
        <f>IF(Z376&lt;&gt;"",Z376,"")</f>
        <v/>
      </c>
      <c r="AC376" s="65"/>
    </row>
    <row r="377" spans="1:29">
      <c r="A377" s="58" t="s">
        <v>189</v>
      </c>
      <c r="B377" s="64"/>
      <c r="C377" t="s">
        <v>117</v>
      </c>
      <c r="D377" s="59"/>
      <c r="E377" s="60"/>
      <c r="G377" s="61" t="str">
        <f t="shared" ref="G377:G379" si="254">""</f>
        <v/>
      </c>
      <c r="L377" t="s">
        <v>117</v>
      </c>
      <c r="M377" s="65"/>
      <c r="O377" s="61" t="str">
        <f t="shared" ref="O377:O379" si="255">""</f>
        <v/>
      </c>
      <c r="T377" t="s">
        <v>117</v>
      </c>
      <c r="U377" s="65"/>
      <c r="W377" s="61" t="str">
        <f t="shared" ref="W377:W379" si="256">""</f>
        <v/>
      </c>
      <c r="AB377" t="s">
        <v>117</v>
      </c>
      <c r="AC377" s="65"/>
    </row>
    <row r="378" ht="14.55" spans="1:29">
      <c r="A378" s="69" t="str">
        <f t="shared" si="253"/>
        <v/>
      </c>
      <c r="B378" s="49"/>
      <c r="C378" s="49" t="str">
        <f>CONCATENATE("&lt;!-- ",CONCATENATE(B373," ",B374," fin")," --&gt;")</f>
        <v>&lt;!--   fin --&gt;</v>
      </c>
      <c r="D378" s="70"/>
      <c r="E378" s="71"/>
      <c r="G378" s="72" t="str">
        <f t="shared" si="254"/>
        <v/>
      </c>
      <c r="H378" s="49"/>
      <c r="I378" s="49"/>
      <c r="J378" s="49"/>
      <c r="K378" s="49"/>
      <c r="L378" s="49" t="str">
        <f>CONCATENATE("&lt;!-- ",CONCATENATE(J373," ",J374," fin")," --&gt;")</f>
        <v>&lt;!--   fin --&gt;</v>
      </c>
      <c r="M378" s="73"/>
      <c r="O378" s="72" t="str">
        <f t="shared" si="255"/>
        <v/>
      </c>
      <c r="P378" s="49"/>
      <c r="Q378" s="49"/>
      <c r="R378" s="49"/>
      <c r="S378" s="49"/>
      <c r="T378" s="49" t="str">
        <f>CONCATENATE("&lt;!-- ",R373," fin --&gt;")</f>
        <v>&lt;!--  fin --&gt;</v>
      </c>
      <c r="U378" s="73"/>
      <c r="W378" s="72" t="str">
        <f t="shared" si="256"/>
        <v/>
      </c>
      <c r="X378" s="49"/>
      <c r="Y378" s="49"/>
      <c r="Z378" s="49"/>
      <c r="AA378" s="49"/>
      <c r="AB378" s="49" t="str">
        <f>CONCATENATE("&lt;!-- ",Z373," fin --&gt;")</f>
        <v>&lt;!--  fin --&gt;</v>
      </c>
      <c r="AC378" s="73"/>
    </row>
    <row r="379" ht="14.55" spans="1:29">
      <c r="A379" s="74" t="str">
        <f t="shared" si="253"/>
        <v/>
      </c>
      <c r="B379" s="52"/>
      <c r="C379" s="49" t="str">
        <f>""</f>
        <v/>
      </c>
      <c r="D379" s="49"/>
      <c r="E379" s="49"/>
      <c r="G379" s="61" t="str">
        <f t="shared" si="254"/>
        <v/>
      </c>
      <c r="H379" s="75"/>
      <c r="I379" s="75"/>
      <c r="J379" s="52"/>
      <c r="K379" s="55"/>
      <c r="L379" s="49" t="str">
        <f>""</f>
        <v/>
      </c>
      <c r="O379" s="54" t="str">
        <f t="shared" si="255"/>
        <v/>
      </c>
      <c r="P379" s="55"/>
      <c r="Q379" s="55"/>
      <c r="R379" s="52"/>
      <c r="S379" s="55"/>
      <c r="T379" s="49" t="str">
        <f>""</f>
        <v/>
      </c>
      <c r="W379" s="54" t="str">
        <f t="shared" si="256"/>
        <v/>
      </c>
      <c r="X379" s="55"/>
      <c r="Y379" s="55"/>
      <c r="Z379" s="52"/>
      <c r="AA379" s="55"/>
      <c r="AB379" s="49" t="str">
        <f>""</f>
        <v/>
      </c>
    </row>
    <row r="380" spans="1:29">
      <c r="A380" s="50" t="str">
        <f>CONCATENATE("Título ",A382)</f>
        <v>Título 54</v>
      </c>
      <c r="B380" s="57"/>
      <c r="C380" s="51" t="str">
        <f>CONCATENATE("&lt;!-- ",CONCATENATE(B380," ",B381)," --&gt;")</f>
        <v>&lt;!--   --&gt;</v>
      </c>
      <c r="D380" s="52"/>
      <c r="E380" s="53" t="str">
        <f>""</f>
        <v/>
      </c>
      <c r="G380" s="54" t="str">
        <f>CONCATENATE("Título ",G382)</f>
        <v>Título 55</v>
      </c>
      <c r="H380" s="55"/>
      <c r="I380" s="55"/>
      <c r="J380" s="57"/>
      <c r="K380" s="55" t="s">
        <v>2</v>
      </c>
      <c r="L380" s="51" t="str">
        <f>CONCATENATE("&lt;!-- ",CONCATENATE(J380," ",J381)," --&gt;")</f>
        <v>&lt;!--   --&gt;</v>
      </c>
      <c r="M380" s="56"/>
      <c r="O380" s="54" t="str">
        <f>G380</f>
        <v>Título 55</v>
      </c>
      <c r="P380" s="55"/>
      <c r="Q380" s="55"/>
      <c r="R380" s="57"/>
      <c r="S380" s="55"/>
      <c r="T380" s="55" t="str">
        <f>CONCATENATE("&lt;!-- ",R380," --&gt;")</f>
        <v>&lt;!--  --&gt;</v>
      </c>
      <c r="U380" s="56"/>
      <c r="W380" s="54" t="str">
        <f>O380</f>
        <v>Título 55</v>
      </c>
      <c r="X380" s="55"/>
      <c r="Y380" s="55"/>
      <c r="Z380" s="57"/>
      <c r="AA380" s="55"/>
      <c r="AB380" s="55" t="str">
        <f>CONCATENATE("&lt;!-- ",Z380," --&gt;")</f>
        <v>&lt;!--  --&gt;</v>
      </c>
      <c r="AC380" s="56"/>
    </row>
    <row r="381" ht="14.4" spans="1:29">
      <c r="A381" s="58" t="s">
        <v>186</v>
      </c>
      <c r="C381" t="str">
        <f>IF(B382&lt;&gt;"",CONCATENATE("&lt;div id=",Comilla,B383,Comilla,"&gt;"),"")</f>
        <v/>
      </c>
      <c r="D381" s="59"/>
      <c r="E381" s="60" t="str">
        <f>CONCATENATE(" &lt;a href=",Comilla,"#",B383,Comilla," class=",Comilla,"submenu-item",Comilla,"&gt;",B380,"&lt;/a&gt;")</f>
        <v> &lt;a href="#" class="submenu-item"&gt;&lt;/a&gt;</v>
      </c>
      <c r="G381" s="61" t="s">
        <v>186</v>
      </c>
      <c r="H381" s="62" t="s">
        <v>187</v>
      </c>
      <c r="I381" s="63" t="s">
        <v>188</v>
      </c>
      <c r="J381" s="64"/>
      <c r="L381" t="str">
        <f>IF(J380&lt;&gt;"","&lt;div&gt;","")</f>
        <v/>
      </c>
      <c r="M381" s="65"/>
      <c r="O381" s="61" t="s">
        <v>186</v>
      </c>
      <c r="P381" s="62" t="s">
        <v>187</v>
      </c>
      <c r="Q381" s="63" t="s">
        <v>188</v>
      </c>
      <c r="T381" t="str">
        <f>CONCATENATE(P381,R381,Q381)</f>
        <v>&lt;div &gt;</v>
      </c>
      <c r="U381" s="65"/>
      <c r="W381" s="61" t="s">
        <v>186</v>
      </c>
      <c r="X381" s="62" t="s">
        <v>187</v>
      </c>
      <c r="Y381" s="63" t="s">
        <v>188</v>
      </c>
      <c r="AB381" t="str">
        <f>CONCATENATE(X381,Z381,Y381)</f>
        <v>&lt;div &gt;</v>
      </c>
      <c r="AC381" s="65"/>
    </row>
    <row r="382" spans="1:29">
      <c r="A382" s="66">
        <f>A375+1</f>
        <v>54</v>
      </c>
      <c r="B382" s="67" t="str">
        <f>IF(B380="","",SUBSTITUTE(SUBSTITUTE(SUBSTITUTE(SUBSTITUTE(SUBSTITUTE(SUBSTITUTE(SUBSTITUTE(SUBSTITUTE(LOWER(CONCATENATE(B380," ",B381))," ","-"),"&lt;",""),"&gt;",""),"ó","o"),"?",""),"¿",""),"é","e"),"á","a"))</f>
        <v/>
      </c>
      <c r="C382" s="68" t="str">
        <f>CONCATENATE("&lt;h3&gt;",SUBSTITUTE(CONCATENATE(B380," ",B381),"&lt;","&amp;lt;"),"&lt;/h3&gt;")</f>
        <v>&lt;h3&gt; &lt;/h3&gt;</v>
      </c>
      <c r="D382" s="59"/>
      <c r="E382" s="60"/>
      <c r="G382" s="61">
        <f>G375+1</f>
        <v>55</v>
      </c>
      <c r="J382" s="59"/>
      <c r="K382" s="59"/>
      <c r="L382" s="68" t="str">
        <f>CONCATENATE("&lt;h4&gt;",SUBSTITUTE(CONCATENATE(J380," ",J381),"&lt;","&amp;lt;"),"&lt;/h4&gt;")</f>
        <v>&lt;h4&gt; &lt;/h4&gt;</v>
      </c>
      <c r="M382" s="65"/>
      <c r="O382" s="61">
        <f>O375+1</f>
        <v>55</v>
      </c>
      <c r="T382" t="str">
        <f>CONCATENATE("&lt;h5&gt;",R380,"&lt;/h5&gt;")</f>
        <v>&lt;h5&gt;&lt;/h5&gt;</v>
      </c>
      <c r="U382" s="65"/>
      <c r="W382" s="61">
        <f>W375+1</f>
        <v>55</v>
      </c>
      <c r="AB382" t="str">
        <f>CONCATENATE("&lt;",$Y$1,"&gt;",Z380,"&lt;/",$Y$1,"&gt;")</f>
        <v>&lt;h6&gt;&lt;/h6&gt;</v>
      </c>
      <c r="AC382" s="65"/>
    </row>
    <row r="383" spans="1:29">
      <c r="A383" s="58" t="str">
        <f t="shared" ref="A383:A386" si="257">""</f>
        <v/>
      </c>
      <c r="B383" s="67" t="str">
        <f>IF(B382&lt;&gt;"",IF(B381="",LEFT(B382,LEN(B382)-1),B382),"")</f>
        <v/>
      </c>
      <c r="D383" s="59"/>
      <c r="E383" s="60"/>
      <c r="G383" s="61" t="s">
        <v>189</v>
      </c>
      <c r="J383" s="64"/>
      <c r="K383" t="s">
        <v>2</v>
      </c>
      <c r="L383" t="str">
        <f>IF(J383&lt;&gt;"",CONCATENATE("&lt;p&gt;",J383,"&lt;/p&gt;"),"")</f>
        <v/>
      </c>
      <c r="M383" s="65"/>
      <c r="O383" s="61" t="s">
        <v>189</v>
      </c>
      <c r="R383" s="64"/>
      <c r="S383" t="s">
        <v>2</v>
      </c>
      <c r="T383" t="str">
        <f>IF(R383&lt;&gt;"",R383,"")</f>
        <v/>
      </c>
      <c r="U383" s="65"/>
      <c r="W383" s="61" t="s">
        <v>189</v>
      </c>
      <c r="Z383" s="64"/>
      <c r="AA383" t="s">
        <v>2</v>
      </c>
      <c r="AB383" t="str">
        <f>IF(Z383&lt;&gt;"",Z383,"")</f>
        <v/>
      </c>
      <c r="AC383" s="65"/>
    </row>
    <row r="384" spans="1:29">
      <c r="A384" s="58" t="s">
        <v>189</v>
      </c>
      <c r="B384" s="64"/>
      <c r="C384" t="s">
        <v>117</v>
      </c>
      <c r="D384" s="59"/>
      <c r="E384" s="60"/>
      <c r="G384" s="61" t="str">
        <f t="shared" ref="G384:G386" si="258">""</f>
        <v/>
      </c>
      <c r="L384" t="s">
        <v>117</v>
      </c>
      <c r="M384" s="65"/>
      <c r="O384" s="61" t="str">
        <f t="shared" ref="O384:O386" si="259">""</f>
        <v/>
      </c>
      <c r="T384" t="s">
        <v>117</v>
      </c>
      <c r="U384" s="65"/>
      <c r="W384" s="61" t="str">
        <f t="shared" ref="W384:W386" si="260">""</f>
        <v/>
      </c>
      <c r="AB384" t="s">
        <v>117</v>
      </c>
      <c r="AC384" s="65"/>
    </row>
    <row r="385" ht="14.55" spans="1:29">
      <c r="A385" s="69" t="str">
        <f t="shared" si="257"/>
        <v/>
      </c>
      <c r="B385" s="49"/>
      <c r="C385" s="49" t="str">
        <f>CONCATENATE("&lt;!-- ",CONCATENATE(B380," ",B381," fin")," --&gt;")</f>
        <v>&lt;!--   fin --&gt;</v>
      </c>
      <c r="D385" s="70"/>
      <c r="E385" s="71"/>
      <c r="G385" s="72" t="str">
        <f t="shared" si="258"/>
        <v/>
      </c>
      <c r="H385" s="49"/>
      <c r="I385" s="49"/>
      <c r="J385" s="49"/>
      <c r="K385" s="49"/>
      <c r="L385" s="49" t="str">
        <f>CONCATENATE("&lt;!-- ",CONCATENATE(J380," ",J381," fin")," --&gt;")</f>
        <v>&lt;!--   fin --&gt;</v>
      </c>
      <c r="M385" s="73"/>
      <c r="O385" s="72" t="str">
        <f t="shared" si="259"/>
        <v/>
      </c>
      <c r="P385" s="49"/>
      <c r="Q385" s="49"/>
      <c r="R385" s="49"/>
      <c r="S385" s="49"/>
      <c r="T385" s="49" t="str">
        <f>CONCATENATE("&lt;!-- ",R380," fin --&gt;")</f>
        <v>&lt;!--  fin --&gt;</v>
      </c>
      <c r="U385" s="73"/>
      <c r="W385" s="72" t="str">
        <f t="shared" si="260"/>
        <v/>
      </c>
      <c r="X385" s="49"/>
      <c r="Y385" s="49"/>
      <c r="Z385" s="49"/>
      <c r="AA385" s="49"/>
      <c r="AB385" s="49" t="str">
        <f>CONCATENATE("&lt;!-- ",Z380," fin --&gt;")</f>
        <v>&lt;!--  fin --&gt;</v>
      </c>
      <c r="AC385" s="73"/>
    </row>
    <row r="386" ht="14.55" spans="1:29">
      <c r="A386" s="74" t="str">
        <f t="shared" si="257"/>
        <v/>
      </c>
      <c r="B386" s="52"/>
      <c r="C386" s="49" t="str">
        <f>""</f>
        <v/>
      </c>
      <c r="D386" s="49"/>
      <c r="E386" s="49"/>
      <c r="G386" s="61" t="str">
        <f t="shared" si="258"/>
        <v/>
      </c>
      <c r="H386" s="75"/>
      <c r="I386" s="75"/>
      <c r="J386" s="52"/>
      <c r="K386" s="55"/>
      <c r="L386" s="49" t="str">
        <f>""</f>
        <v/>
      </c>
      <c r="O386" s="54" t="str">
        <f t="shared" si="259"/>
        <v/>
      </c>
      <c r="P386" s="55"/>
      <c r="Q386" s="55"/>
      <c r="R386" s="52"/>
      <c r="S386" s="55"/>
      <c r="T386" s="49" t="str">
        <f>""</f>
        <v/>
      </c>
      <c r="W386" s="54" t="str">
        <f t="shared" si="260"/>
        <v/>
      </c>
      <c r="X386" s="55"/>
      <c r="Y386" s="55"/>
      <c r="Z386" s="52"/>
      <c r="AA386" s="55"/>
      <c r="AB386" s="49" t="str">
        <f>""</f>
        <v/>
      </c>
    </row>
    <row r="387" spans="1:29">
      <c r="G387" s="54" t="str">
        <f>CONCATENATE("Título ",G389)</f>
        <v>Título 56</v>
      </c>
      <c r="H387" s="55"/>
      <c r="I387" s="55"/>
      <c r="J387" s="57"/>
      <c r="K387" s="55" t="s">
        <v>2</v>
      </c>
      <c r="L387" s="51" t="str">
        <f>CONCATENATE("&lt;!-- ",CONCATENATE(J387," ",J388)," --&gt;")</f>
        <v>&lt;!--   --&gt;</v>
      </c>
      <c r="M387" s="56"/>
      <c r="O387" s="54" t="str">
        <f>G387</f>
        <v>Título 56</v>
      </c>
      <c r="P387" s="55"/>
      <c r="Q387" s="55"/>
      <c r="R387" s="57"/>
      <c r="S387" s="55"/>
      <c r="T387" s="55" t="str">
        <f>CONCATENATE("&lt;!-- ",R387," --&gt;")</f>
        <v>&lt;!--  --&gt;</v>
      </c>
      <c r="U387" s="56"/>
      <c r="W387" s="54" t="str">
        <f>O387</f>
        <v>Título 56</v>
      </c>
      <c r="X387" s="55"/>
      <c r="Y387" s="55"/>
      <c r="Z387" s="57"/>
      <c r="AA387" s="55"/>
      <c r="AB387" s="55" t="str">
        <f>CONCATENATE("&lt;!-- ",Z387," --&gt;")</f>
        <v>&lt;!--  --&gt;</v>
      </c>
      <c r="AC387" s="56"/>
    </row>
    <row r="388" ht="14.4" spans="1:29">
      <c r="G388" s="61" t="s">
        <v>186</v>
      </c>
      <c r="H388" s="62" t="s">
        <v>187</v>
      </c>
      <c r="I388" s="63" t="s">
        <v>188</v>
      </c>
      <c r="J388" s="64"/>
      <c r="L388" t="str">
        <f>IF(J387&lt;&gt;"","&lt;div&gt;","")</f>
        <v/>
      </c>
      <c r="M388" s="65"/>
      <c r="O388" s="61" t="s">
        <v>186</v>
      </c>
      <c r="P388" s="62" t="s">
        <v>187</v>
      </c>
      <c r="Q388" s="63" t="s">
        <v>188</v>
      </c>
      <c r="T388" t="str">
        <f>CONCATENATE(P388,R388,Q388)</f>
        <v>&lt;div &gt;</v>
      </c>
      <c r="U388" s="65"/>
      <c r="W388" s="61" t="s">
        <v>186</v>
      </c>
      <c r="X388" s="62" t="s">
        <v>187</v>
      </c>
      <c r="Y388" s="63" t="s">
        <v>188</v>
      </c>
      <c r="AB388" t="str">
        <f>CONCATENATE(X388,Z388,Y388)</f>
        <v>&lt;div &gt;</v>
      </c>
      <c r="AC388" s="65"/>
    </row>
    <row r="389" spans="1:29">
      <c r="G389" s="61">
        <f>G382+1</f>
        <v>56</v>
      </c>
      <c r="J389" s="59"/>
      <c r="K389" s="59"/>
      <c r="L389" s="68" t="str">
        <f>CONCATENATE("&lt;h4&gt;",SUBSTITUTE(CONCATENATE(J387," ",J388),"&lt;","&amp;lt;"),"&lt;/h4&gt;")</f>
        <v>&lt;h4&gt; &lt;/h4&gt;</v>
      </c>
      <c r="M389" s="65"/>
      <c r="O389" s="61">
        <f>O382+1</f>
        <v>56</v>
      </c>
      <c r="T389" t="str">
        <f>CONCATENATE("&lt;h5&gt;",R387,"&lt;/h5&gt;")</f>
        <v>&lt;h5&gt;&lt;/h5&gt;</v>
      </c>
      <c r="U389" s="65"/>
      <c r="W389" s="61">
        <f>W382+1</f>
        <v>56</v>
      </c>
      <c r="AB389" t="str">
        <f>CONCATENATE("&lt;",$Y$1,"&gt;",Z387,"&lt;/",$Y$1,"&gt;")</f>
        <v>&lt;h6&gt;&lt;/h6&gt;</v>
      </c>
      <c r="AC389" s="65"/>
    </row>
    <row r="390" spans="1:29">
      <c r="G390" s="61" t="s">
        <v>189</v>
      </c>
      <c r="J390" s="64"/>
      <c r="K390" t="s">
        <v>2</v>
      </c>
      <c r="L390" t="str">
        <f>IF(J390&lt;&gt;"",CONCATENATE("&lt;p&gt;",J390,"&lt;/p&gt;"),"")</f>
        <v/>
      </c>
      <c r="M390" s="65"/>
      <c r="O390" s="61" t="s">
        <v>189</v>
      </c>
      <c r="R390" s="64"/>
      <c r="S390" t="s">
        <v>2</v>
      </c>
      <c r="T390" t="str">
        <f>IF(R390&lt;&gt;"",R390,"")</f>
        <v/>
      </c>
      <c r="U390" s="65"/>
      <c r="W390" s="61" t="s">
        <v>189</v>
      </c>
      <c r="Z390" s="64"/>
      <c r="AA390" t="s">
        <v>2</v>
      </c>
      <c r="AB390" t="str">
        <f>IF(Z390&lt;&gt;"",Z390,"")</f>
        <v/>
      </c>
      <c r="AC390" s="65"/>
    </row>
    <row r="391" spans="1:29">
      <c r="G391" s="61" t="str">
        <f t="shared" ref="G391:G393" si="261">""</f>
        <v/>
      </c>
      <c r="L391" t="s">
        <v>117</v>
      </c>
      <c r="M391" s="65"/>
      <c r="O391" s="61" t="str">
        <f t="shared" ref="O391:O393" si="262">""</f>
        <v/>
      </c>
      <c r="T391" t="s">
        <v>117</v>
      </c>
      <c r="U391" s="65"/>
      <c r="W391" s="61" t="str">
        <f t="shared" ref="W391:W393" si="263">""</f>
        <v/>
      </c>
      <c r="AB391" t="s">
        <v>117</v>
      </c>
      <c r="AC391" s="65"/>
    </row>
    <row r="392" ht="14.55" spans="1:29">
      <c r="G392" s="72" t="str">
        <f t="shared" si="261"/>
        <v/>
      </c>
      <c r="H392" s="49"/>
      <c r="I392" s="49"/>
      <c r="J392" s="49"/>
      <c r="K392" s="49"/>
      <c r="L392" s="49" t="str">
        <f>CONCATENATE("&lt;!-- ",CONCATENATE(J387," ",J388," fin")," --&gt;")</f>
        <v>&lt;!--   fin --&gt;</v>
      </c>
      <c r="M392" s="73"/>
      <c r="O392" s="72" t="str">
        <f t="shared" si="262"/>
        <v/>
      </c>
      <c r="P392" s="49"/>
      <c r="Q392" s="49"/>
      <c r="R392" s="49"/>
      <c r="S392" s="49"/>
      <c r="T392" s="49" t="str">
        <f>CONCATENATE("&lt;!-- ",R387," fin --&gt;")</f>
        <v>&lt;!--  fin --&gt;</v>
      </c>
      <c r="U392" s="73"/>
      <c r="W392" s="72" t="str">
        <f t="shared" si="263"/>
        <v/>
      </c>
      <c r="X392" s="49"/>
      <c r="Y392" s="49"/>
      <c r="Z392" s="49"/>
      <c r="AA392" s="49"/>
      <c r="AB392" s="49" t="str">
        <f>CONCATENATE("&lt;!-- ",Z387," fin --&gt;")</f>
        <v>&lt;!--  fin --&gt;</v>
      </c>
      <c r="AC392" s="73"/>
    </row>
    <row r="393" ht="14.55" spans="1:29">
      <c r="G393" s="61" t="str">
        <f t="shared" si="261"/>
        <v/>
      </c>
      <c r="H393" s="75"/>
      <c r="I393" s="75"/>
      <c r="J393" s="52"/>
      <c r="K393" s="55"/>
      <c r="L393" s="49" t="str">
        <f>""</f>
        <v/>
      </c>
      <c r="O393" s="54" t="str">
        <f t="shared" si="262"/>
        <v/>
      </c>
      <c r="P393" s="55"/>
      <c r="Q393" s="55"/>
      <c r="R393" s="52"/>
      <c r="S393" s="55"/>
      <c r="T393" s="49" t="str">
        <f>""</f>
        <v/>
      </c>
      <c r="W393" s="54" t="str">
        <f t="shared" si="263"/>
        <v/>
      </c>
      <c r="X393" s="55"/>
      <c r="Y393" s="55"/>
      <c r="Z393" s="52"/>
      <c r="AA393" s="55"/>
      <c r="AB393" s="49" t="str">
        <f>""</f>
        <v/>
      </c>
    </row>
    <row r="394" spans="1:29">
      <c r="G394" s="54" t="str">
        <f>CONCATENATE("Título ",G396)</f>
        <v>Título 57</v>
      </c>
      <c r="H394" s="55"/>
      <c r="I394" s="55"/>
      <c r="J394" s="57"/>
      <c r="K394" s="55" t="s">
        <v>2</v>
      </c>
      <c r="L394" s="51" t="str">
        <f>CONCATENATE("&lt;!-- ",CONCATENATE(J394," ",J395)," --&gt;")</f>
        <v>&lt;!--   --&gt;</v>
      </c>
      <c r="M394" s="56"/>
      <c r="O394" s="54" t="str">
        <f>G394</f>
        <v>Título 57</v>
      </c>
      <c r="P394" s="55"/>
      <c r="Q394" s="55"/>
      <c r="R394" s="57"/>
      <c r="S394" s="55"/>
      <c r="T394" s="55" t="str">
        <f>CONCATENATE("&lt;!-- ",R394," --&gt;")</f>
        <v>&lt;!--  --&gt;</v>
      </c>
      <c r="U394" s="56"/>
      <c r="W394" s="54" t="str">
        <f>O394</f>
        <v>Título 57</v>
      </c>
      <c r="X394" s="55"/>
      <c r="Y394" s="55"/>
      <c r="Z394" s="57"/>
      <c r="AA394" s="55"/>
      <c r="AB394" s="55" t="str">
        <f>CONCATENATE("&lt;!-- ",Z394," --&gt;")</f>
        <v>&lt;!--  --&gt;</v>
      </c>
      <c r="AC394" s="56"/>
    </row>
    <row r="395" ht="14.4" spans="1:29">
      <c r="G395" s="61" t="s">
        <v>186</v>
      </c>
      <c r="H395" s="62" t="s">
        <v>187</v>
      </c>
      <c r="I395" s="63" t="s">
        <v>188</v>
      </c>
      <c r="J395" s="64"/>
      <c r="L395" t="str">
        <f>IF(J394&lt;&gt;"","&lt;div&gt;","")</f>
        <v/>
      </c>
      <c r="M395" s="65"/>
      <c r="O395" s="61" t="s">
        <v>186</v>
      </c>
      <c r="P395" s="62" t="s">
        <v>187</v>
      </c>
      <c r="Q395" s="63" t="s">
        <v>188</v>
      </c>
      <c r="T395" t="str">
        <f>CONCATENATE(P395,R395,Q395)</f>
        <v>&lt;div &gt;</v>
      </c>
      <c r="U395" s="65"/>
      <c r="W395" s="61" t="s">
        <v>186</v>
      </c>
      <c r="X395" s="62" t="s">
        <v>187</v>
      </c>
      <c r="Y395" s="63" t="s">
        <v>188</v>
      </c>
      <c r="AB395" t="str">
        <f>CONCATENATE(X395,Z395,Y395)</f>
        <v>&lt;div &gt;</v>
      </c>
      <c r="AC395" s="65"/>
    </row>
    <row r="396" spans="1:29">
      <c r="G396" s="61">
        <f>G389+1</f>
        <v>57</v>
      </c>
      <c r="J396" s="59"/>
      <c r="K396" s="59"/>
      <c r="L396" s="68" t="str">
        <f>CONCATENATE("&lt;h4&gt;",SUBSTITUTE(CONCATENATE(J394," ",J395),"&lt;","&amp;lt;"),"&lt;/h4&gt;")</f>
        <v>&lt;h4&gt; &lt;/h4&gt;</v>
      </c>
      <c r="M396" s="65"/>
      <c r="O396" s="61">
        <f>O389+1</f>
        <v>57</v>
      </c>
      <c r="T396" t="str">
        <f>CONCATENATE("&lt;h5&gt;",R394,"&lt;/h5&gt;")</f>
        <v>&lt;h5&gt;&lt;/h5&gt;</v>
      </c>
      <c r="U396" s="65"/>
      <c r="W396" s="61">
        <f>W389+1</f>
        <v>57</v>
      </c>
      <c r="AB396" t="str">
        <f>CONCATENATE("&lt;",$Y$1,"&gt;",Z394,"&lt;/",$Y$1,"&gt;")</f>
        <v>&lt;h6&gt;&lt;/h6&gt;</v>
      </c>
      <c r="AC396" s="65"/>
    </row>
    <row r="397" spans="1:29">
      <c r="G397" s="61" t="s">
        <v>189</v>
      </c>
      <c r="J397" s="64"/>
      <c r="K397" t="s">
        <v>2</v>
      </c>
      <c r="L397" t="str">
        <f>IF(J397&lt;&gt;"",CONCATENATE("&lt;p&gt;",J397,"&lt;/p&gt;"),"")</f>
        <v/>
      </c>
      <c r="M397" s="65"/>
      <c r="O397" s="61" t="s">
        <v>189</v>
      </c>
      <c r="R397" s="64"/>
      <c r="S397" t="s">
        <v>2</v>
      </c>
      <c r="T397" t="str">
        <f>IF(R397&lt;&gt;"",R397,"")</f>
        <v/>
      </c>
      <c r="U397" s="65"/>
      <c r="W397" s="61" t="s">
        <v>189</v>
      </c>
      <c r="Z397" s="64"/>
      <c r="AA397" t="s">
        <v>2</v>
      </c>
      <c r="AB397" t="str">
        <f>IF(Z397&lt;&gt;"",Z397,"")</f>
        <v/>
      </c>
      <c r="AC397" s="65"/>
    </row>
    <row r="398" spans="1:29">
      <c r="G398" s="61" t="str">
        <f t="shared" ref="G398:G400" si="264">""</f>
        <v/>
      </c>
      <c r="L398" t="s">
        <v>117</v>
      </c>
      <c r="M398" s="65"/>
      <c r="O398" s="61" t="str">
        <f t="shared" ref="O398:O400" si="265">""</f>
        <v/>
      </c>
      <c r="T398" t="s">
        <v>117</v>
      </c>
      <c r="U398" s="65"/>
      <c r="W398" s="61" t="str">
        <f t="shared" ref="W398:W400" si="266">""</f>
        <v/>
      </c>
      <c r="AB398" t="s">
        <v>117</v>
      </c>
      <c r="AC398" s="65"/>
    </row>
    <row r="399" ht="14.55" spans="1:29">
      <c r="G399" s="72" t="str">
        <f t="shared" si="264"/>
        <v/>
      </c>
      <c r="H399" s="49"/>
      <c r="I399" s="49"/>
      <c r="J399" s="49"/>
      <c r="K399" s="49"/>
      <c r="L399" s="49" t="str">
        <f>CONCATENATE("&lt;!-- ",CONCATENATE(J394," ",J395," fin")," --&gt;")</f>
        <v>&lt;!--   fin --&gt;</v>
      </c>
      <c r="M399" s="73"/>
      <c r="O399" s="72" t="str">
        <f t="shared" si="265"/>
        <v/>
      </c>
      <c r="P399" s="49"/>
      <c r="Q399" s="49"/>
      <c r="R399" s="49"/>
      <c r="S399" s="49"/>
      <c r="T399" s="49" t="str">
        <f>CONCATENATE("&lt;!-- ",R394," fin --&gt;")</f>
        <v>&lt;!--  fin --&gt;</v>
      </c>
      <c r="U399" s="73"/>
      <c r="W399" s="72" t="str">
        <f t="shared" si="266"/>
        <v/>
      </c>
      <c r="X399" s="49"/>
      <c r="Y399" s="49"/>
      <c r="Z399" s="49"/>
      <c r="AA399" s="49"/>
      <c r="AB399" s="49" t="str">
        <f>CONCATENATE("&lt;!-- ",Z394," fin --&gt;")</f>
        <v>&lt;!--  fin --&gt;</v>
      </c>
      <c r="AC399" s="73"/>
    </row>
    <row r="400" ht="14.55" spans="1:29">
      <c r="G400" s="61" t="str">
        <f t="shared" si="264"/>
        <v/>
      </c>
      <c r="H400" s="75"/>
      <c r="I400" s="75"/>
      <c r="J400" s="52"/>
      <c r="K400" s="55"/>
      <c r="L400" s="49" t="str">
        <f>""</f>
        <v/>
      </c>
      <c r="O400" s="54" t="str">
        <f t="shared" si="265"/>
        <v/>
      </c>
      <c r="P400" s="55"/>
      <c r="Q400" s="55"/>
      <c r="R400" s="52"/>
      <c r="S400" s="55"/>
      <c r="T400" s="49" t="str">
        <f>""</f>
        <v/>
      </c>
      <c r="W400" s="54" t="str">
        <f t="shared" si="266"/>
        <v/>
      </c>
      <c r="X400" s="55"/>
      <c r="Y400" s="55"/>
      <c r="Z400" s="52"/>
      <c r="AA400" s="55"/>
      <c r="AB400" s="49" t="str">
        <f>""</f>
        <v/>
      </c>
    </row>
    <row r="401" spans="7:29">
      <c r="G401" s="54" t="str">
        <f>CONCATENATE("Título ",G403)</f>
        <v>Título 58</v>
      </c>
      <c r="H401" s="55"/>
      <c r="I401" s="55"/>
      <c r="J401" s="57"/>
      <c r="K401" s="55" t="s">
        <v>2</v>
      </c>
      <c r="L401" s="51" t="str">
        <f>CONCATENATE("&lt;!-- ",CONCATENATE(J401," ",J402)," --&gt;")</f>
        <v>&lt;!--   --&gt;</v>
      </c>
      <c r="M401" s="56"/>
      <c r="O401" s="54" t="str">
        <f>G401</f>
        <v>Título 58</v>
      </c>
      <c r="P401" s="55"/>
      <c r="Q401" s="55"/>
      <c r="R401" s="57"/>
      <c r="S401" s="55"/>
      <c r="T401" s="55" t="str">
        <f>CONCATENATE("&lt;!-- ",R401," --&gt;")</f>
        <v>&lt;!--  --&gt;</v>
      </c>
      <c r="U401" s="56"/>
      <c r="W401" s="54" t="str">
        <f>O401</f>
        <v>Título 58</v>
      </c>
      <c r="X401" s="55"/>
      <c r="Y401" s="55"/>
      <c r="Z401" s="57"/>
      <c r="AA401" s="55"/>
      <c r="AB401" s="55" t="str">
        <f>CONCATENATE("&lt;!-- ",Z401," --&gt;")</f>
        <v>&lt;!--  --&gt;</v>
      </c>
      <c r="AC401" s="56"/>
    </row>
    <row r="402" ht="14.4" spans="7:29">
      <c r="G402" s="61" t="s">
        <v>186</v>
      </c>
      <c r="H402" s="62" t="s">
        <v>187</v>
      </c>
      <c r="I402" s="63" t="s">
        <v>188</v>
      </c>
      <c r="J402" s="64"/>
      <c r="L402" t="str">
        <f>IF(J401&lt;&gt;"","&lt;div&gt;","")</f>
        <v/>
      </c>
      <c r="M402" s="65"/>
      <c r="O402" s="61" t="s">
        <v>186</v>
      </c>
      <c r="P402" s="62" t="s">
        <v>187</v>
      </c>
      <c r="Q402" s="63" t="s">
        <v>188</v>
      </c>
      <c r="T402" t="str">
        <f>CONCATENATE(P402,R402,Q402)</f>
        <v>&lt;div &gt;</v>
      </c>
      <c r="U402" s="65"/>
      <c r="W402" s="61" t="s">
        <v>186</v>
      </c>
      <c r="X402" s="62" t="s">
        <v>187</v>
      </c>
      <c r="Y402" s="63" t="s">
        <v>188</v>
      </c>
      <c r="AB402" t="str">
        <f>CONCATENATE(X402,Z402,Y402)</f>
        <v>&lt;div &gt;</v>
      </c>
      <c r="AC402" s="65"/>
    </row>
    <row r="403" spans="7:29">
      <c r="G403" s="61">
        <f>G396+1</f>
        <v>58</v>
      </c>
      <c r="J403" s="59"/>
      <c r="K403" s="59"/>
      <c r="L403" s="68" t="str">
        <f>CONCATENATE("&lt;h4&gt;",SUBSTITUTE(CONCATENATE(J401," ",J402),"&lt;","&amp;lt;"),"&lt;/h4&gt;")</f>
        <v>&lt;h4&gt; &lt;/h4&gt;</v>
      </c>
      <c r="M403" s="65"/>
      <c r="O403" s="61">
        <f>O396+1</f>
        <v>58</v>
      </c>
      <c r="T403" t="str">
        <f>CONCATENATE("&lt;h5&gt;",R401,"&lt;/h5&gt;")</f>
        <v>&lt;h5&gt;&lt;/h5&gt;</v>
      </c>
      <c r="U403" s="65"/>
      <c r="W403" s="61">
        <f>W396+1</f>
        <v>58</v>
      </c>
      <c r="AB403" t="str">
        <f>CONCATENATE("&lt;",$Y$1,"&gt;",Z401,"&lt;/",$Y$1,"&gt;")</f>
        <v>&lt;h6&gt;&lt;/h6&gt;</v>
      </c>
      <c r="AC403" s="65"/>
    </row>
    <row r="404" spans="7:29">
      <c r="G404" s="61" t="s">
        <v>189</v>
      </c>
      <c r="J404" s="64"/>
      <c r="K404" t="s">
        <v>2</v>
      </c>
      <c r="L404" t="str">
        <f>IF(J404&lt;&gt;"",CONCATENATE("&lt;p&gt;",J404,"&lt;/p&gt;"),"")</f>
        <v/>
      </c>
      <c r="M404" s="65"/>
      <c r="O404" s="61" t="s">
        <v>189</v>
      </c>
      <c r="R404" s="64"/>
      <c r="S404" t="s">
        <v>2</v>
      </c>
      <c r="T404" t="str">
        <f>IF(R404&lt;&gt;"",R404,"")</f>
        <v/>
      </c>
      <c r="U404" s="65"/>
      <c r="W404" s="61" t="s">
        <v>189</v>
      </c>
      <c r="Z404" s="64"/>
      <c r="AA404" t="s">
        <v>2</v>
      </c>
      <c r="AB404" t="str">
        <f>IF(Z404&lt;&gt;"",Z404,"")</f>
        <v/>
      </c>
      <c r="AC404" s="65"/>
    </row>
    <row r="405" spans="7:29">
      <c r="G405" s="61" t="str">
        <f t="shared" ref="G405:G407" si="267">""</f>
        <v/>
      </c>
      <c r="L405" t="s">
        <v>117</v>
      </c>
      <c r="M405" s="65"/>
      <c r="O405" s="61" t="str">
        <f t="shared" ref="O405:O407" si="268">""</f>
        <v/>
      </c>
      <c r="T405" t="s">
        <v>117</v>
      </c>
      <c r="U405" s="65"/>
      <c r="W405" s="61" t="str">
        <f t="shared" ref="W405:W407" si="269">""</f>
        <v/>
      </c>
      <c r="AB405" t="s">
        <v>117</v>
      </c>
      <c r="AC405" s="65"/>
    </row>
    <row r="406" ht="14.55" spans="7:29">
      <c r="G406" s="72" t="str">
        <f t="shared" si="267"/>
        <v/>
      </c>
      <c r="H406" s="49"/>
      <c r="I406" s="49"/>
      <c r="J406" s="49"/>
      <c r="K406" s="49"/>
      <c r="L406" s="49" t="str">
        <f>CONCATENATE("&lt;!-- ",CONCATENATE(J401," ",J402," fin")," --&gt;")</f>
        <v>&lt;!--   fin --&gt;</v>
      </c>
      <c r="M406" s="73"/>
      <c r="O406" s="72" t="str">
        <f t="shared" si="268"/>
        <v/>
      </c>
      <c r="P406" s="49"/>
      <c r="Q406" s="49"/>
      <c r="R406" s="49"/>
      <c r="S406" s="49"/>
      <c r="T406" s="49" t="str">
        <f>CONCATENATE("&lt;!-- ",R401," fin --&gt;")</f>
        <v>&lt;!--  fin --&gt;</v>
      </c>
      <c r="U406" s="73"/>
      <c r="W406" s="72" t="str">
        <f t="shared" si="269"/>
        <v/>
      </c>
      <c r="X406" s="49"/>
      <c r="Y406" s="49"/>
      <c r="Z406" s="49"/>
      <c r="AA406" s="49"/>
      <c r="AB406" s="49" t="str">
        <f>CONCATENATE("&lt;!-- ",Z401," fin --&gt;")</f>
        <v>&lt;!--  fin --&gt;</v>
      </c>
      <c r="AC406" s="73"/>
    </row>
    <row r="407" ht="14.55" spans="7:29">
      <c r="G407" s="61" t="str">
        <f t="shared" si="267"/>
        <v/>
      </c>
      <c r="H407" s="75"/>
      <c r="I407" s="75"/>
      <c r="J407" s="52"/>
      <c r="K407" s="55"/>
      <c r="L407" s="49" t="str">
        <f>""</f>
        <v/>
      </c>
      <c r="O407" s="54" t="str">
        <f t="shared" si="268"/>
        <v/>
      </c>
      <c r="P407" s="55"/>
      <c r="Q407" s="55"/>
      <c r="R407" s="52"/>
      <c r="S407" s="55"/>
      <c r="T407" s="49" t="str">
        <f>""</f>
        <v/>
      </c>
      <c r="W407" s="54" t="str">
        <f t="shared" si="269"/>
        <v/>
      </c>
      <c r="X407" s="55"/>
      <c r="Y407" s="55"/>
      <c r="Z407" s="52"/>
      <c r="AA407" s="55"/>
      <c r="AB407" s="49" t="str">
        <f>""</f>
        <v/>
      </c>
    </row>
    <row r="408" spans="7:29">
      <c r="G408" s="54" t="str">
        <f>CONCATENATE("Título ",G410)</f>
        <v>Título 59</v>
      </c>
      <c r="H408" s="55"/>
      <c r="I408" s="55"/>
      <c r="J408" s="57"/>
      <c r="K408" s="55" t="s">
        <v>2</v>
      </c>
      <c r="L408" s="51" t="str">
        <f>CONCATENATE("&lt;!-- ",CONCATENATE(J408," ",J409)," --&gt;")</f>
        <v>&lt;!--   --&gt;</v>
      </c>
      <c r="M408" s="56"/>
      <c r="O408" s="54" t="str">
        <f>G408</f>
        <v>Título 59</v>
      </c>
      <c r="P408" s="55"/>
      <c r="Q408" s="55"/>
      <c r="R408" s="57"/>
      <c r="S408" s="55"/>
      <c r="T408" s="55" t="str">
        <f>CONCATENATE("&lt;!-- ",R408," --&gt;")</f>
        <v>&lt;!--  --&gt;</v>
      </c>
      <c r="U408" s="56"/>
      <c r="W408" s="54" t="str">
        <f>O408</f>
        <v>Título 59</v>
      </c>
      <c r="X408" s="55"/>
      <c r="Y408" s="55"/>
      <c r="Z408" s="57"/>
      <c r="AA408" s="55"/>
      <c r="AB408" s="55" t="str">
        <f>CONCATENATE("&lt;!-- ",Z408," --&gt;")</f>
        <v>&lt;!--  --&gt;</v>
      </c>
      <c r="AC408" s="56"/>
    </row>
    <row r="409" ht="14.4" spans="7:29">
      <c r="G409" s="61" t="s">
        <v>186</v>
      </c>
      <c r="H409" s="62" t="s">
        <v>187</v>
      </c>
      <c r="I409" s="63" t="s">
        <v>188</v>
      </c>
      <c r="J409" s="64"/>
      <c r="L409" t="str">
        <f>IF(J408&lt;&gt;"","&lt;div&gt;","")</f>
        <v/>
      </c>
      <c r="M409" s="65"/>
      <c r="O409" s="61" t="s">
        <v>186</v>
      </c>
      <c r="P409" s="62" t="s">
        <v>187</v>
      </c>
      <c r="Q409" s="63" t="s">
        <v>188</v>
      </c>
      <c r="T409" t="str">
        <f>CONCATENATE(P409,R409,Q409)</f>
        <v>&lt;div &gt;</v>
      </c>
      <c r="U409" s="65"/>
      <c r="W409" s="61" t="s">
        <v>186</v>
      </c>
      <c r="X409" s="62" t="s">
        <v>187</v>
      </c>
      <c r="Y409" s="63" t="s">
        <v>188</v>
      </c>
      <c r="AB409" t="str">
        <f>CONCATENATE(X409,Z409,Y409)</f>
        <v>&lt;div &gt;</v>
      </c>
      <c r="AC409" s="65"/>
    </row>
    <row r="410" spans="7:29">
      <c r="G410" s="61">
        <f>G403+1</f>
        <v>59</v>
      </c>
      <c r="J410" s="59"/>
      <c r="K410" s="59"/>
      <c r="L410" s="68" t="str">
        <f>CONCATENATE("&lt;h4&gt;",SUBSTITUTE(CONCATENATE(J408," ",J409),"&lt;","&amp;lt;"),"&lt;/h4&gt;")</f>
        <v>&lt;h4&gt; &lt;/h4&gt;</v>
      </c>
      <c r="M410" s="65"/>
      <c r="O410" s="61">
        <f>O403+1</f>
        <v>59</v>
      </c>
      <c r="T410" t="str">
        <f>CONCATENATE("&lt;h5&gt;",R408,"&lt;/h5&gt;")</f>
        <v>&lt;h5&gt;&lt;/h5&gt;</v>
      </c>
      <c r="U410" s="65"/>
      <c r="W410" s="61">
        <f>W403+1</f>
        <v>59</v>
      </c>
      <c r="AB410" t="str">
        <f>CONCATENATE("&lt;",$Y$1,"&gt;",Z408,"&lt;/",$Y$1,"&gt;")</f>
        <v>&lt;h6&gt;&lt;/h6&gt;</v>
      </c>
      <c r="AC410" s="65"/>
    </row>
    <row r="411" spans="7:29">
      <c r="G411" s="61" t="s">
        <v>189</v>
      </c>
      <c r="J411" s="64"/>
      <c r="K411" t="s">
        <v>2</v>
      </c>
      <c r="L411" t="str">
        <f>IF(J411&lt;&gt;"",CONCATENATE("&lt;p&gt;",J411,"&lt;/p&gt;"),"")</f>
        <v/>
      </c>
      <c r="M411" s="65"/>
      <c r="O411" s="61" t="s">
        <v>189</v>
      </c>
      <c r="R411" s="64"/>
      <c r="S411" t="s">
        <v>2</v>
      </c>
      <c r="T411" t="str">
        <f>IF(R411&lt;&gt;"",R411,"")</f>
        <v/>
      </c>
      <c r="U411" s="65"/>
      <c r="W411" s="61" t="s">
        <v>189</v>
      </c>
      <c r="Z411" s="64"/>
      <c r="AA411" t="s">
        <v>2</v>
      </c>
      <c r="AB411" t="str">
        <f>IF(Z411&lt;&gt;"",Z411,"")</f>
        <v/>
      </c>
      <c r="AC411" s="65"/>
    </row>
    <row r="412" spans="7:29">
      <c r="G412" s="61" t="str">
        <f t="shared" ref="G412:G414" si="270">""</f>
        <v/>
      </c>
      <c r="L412" t="s">
        <v>117</v>
      </c>
      <c r="M412" s="65"/>
      <c r="O412" s="61" t="str">
        <f t="shared" ref="O412:O414" si="271">""</f>
        <v/>
      </c>
      <c r="T412" t="s">
        <v>117</v>
      </c>
      <c r="U412" s="65"/>
      <c r="W412" s="61" t="str">
        <f t="shared" ref="W412:W414" si="272">""</f>
        <v/>
      </c>
      <c r="AB412" t="s">
        <v>117</v>
      </c>
      <c r="AC412" s="65"/>
    </row>
    <row r="413" ht="14.55" spans="7:29">
      <c r="G413" s="72" t="str">
        <f t="shared" si="270"/>
        <v/>
      </c>
      <c r="H413" s="49"/>
      <c r="I413" s="49"/>
      <c r="J413" s="49"/>
      <c r="K413" s="49"/>
      <c r="L413" s="49" t="str">
        <f>CONCATENATE("&lt;!-- ",CONCATENATE(J408," ",J409," fin")," --&gt;")</f>
        <v>&lt;!--   fin --&gt;</v>
      </c>
      <c r="M413" s="73"/>
      <c r="O413" s="72" t="str">
        <f t="shared" si="271"/>
        <v/>
      </c>
      <c r="P413" s="49"/>
      <c r="Q413" s="49"/>
      <c r="R413" s="49"/>
      <c r="S413" s="49"/>
      <c r="T413" s="49" t="str">
        <f>CONCATENATE("&lt;!-- ",R408," fin --&gt;")</f>
        <v>&lt;!--  fin --&gt;</v>
      </c>
      <c r="U413" s="73"/>
      <c r="W413" s="72" t="str">
        <f t="shared" si="272"/>
        <v/>
      </c>
      <c r="X413" s="49"/>
      <c r="Y413" s="49"/>
      <c r="Z413" s="49"/>
      <c r="AA413" s="49"/>
      <c r="AB413" s="49" t="str">
        <f>CONCATENATE("&lt;!-- ",Z408," fin --&gt;")</f>
        <v>&lt;!--  fin --&gt;</v>
      </c>
      <c r="AC413" s="73"/>
    </row>
    <row r="414" ht="14.55" spans="7:29">
      <c r="G414" s="61" t="str">
        <f t="shared" si="270"/>
        <v/>
      </c>
      <c r="H414" s="75"/>
      <c r="I414" s="75"/>
      <c r="J414" s="52"/>
      <c r="K414" s="55"/>
      <c r="L414" s="49" t="str">
        <f>""</f>
        <v/>
      </c>
      <c r="O414" s="54" t="str">
        <f t="shared" si="271"/>
        <v/>
      </c>
      <c r="P414" s="55"/>
      <c r="Q414" s="55"/>
      <c r="R414" s="52"/>
      <c r="S414" s="55"/>
      <c r="T414" s="49" t="str">
        <f>""</f>
        <v/>
      </c>
      <c r="W414" s="54" t="str">
        <f t="shared" si="272"/>
        <v/>
      </c>
      <c r="X414" s="55"/>
      <c r="Y414" s="55"/>
      <c r="Z414" s="52"/>
      <c r="AA414" s="55"/>
      <c r="AB414" s="49" t="str">
        <f>""</f>
        <v/>
      </c>
    </row>
    <row r="415" spans="7:29">
      <c r="G415" s="54" t="str">
        <f>CONCATENATE("Título ",G417)</f>
        <v>Título 60</v>
      </c>
      <c r="H415" s="55"/>
      <c r="I415" s="55"/>
      <c r="J415" s="57"/>
      <c r="K415" s="55" t="s">
        <v>2</v>
      </c>
      <c r="L415" s="51" t="str">
        <f>CONCATENATE("&lt;!-- ",CONCATENATE(J415," ",J416)," --&gt;")</f>
        <v>&lt;!--   --&gt;</v>
      </c>
      <c r="M415" s="56"/>
      <c r="O415" s="54" t="str">
        <f>G415</f>
        <v>Título 60</v>
      </c>
      <c r="P415" s="55"/>
      <c r="Q415" s="55"/>
      <c r="R415" s="57"/>
      <c r="S415" s="55"/>
      <c r="T415" s="55" t="str">
        <f>CONCATENATE("&lt;!-- ",R415," --&gt;")</f>
        <v>&lt;!--  --&gt;</v>
      </c>
      <c r="U415" s="56"/>
      <c r="W415" s="54" t="str">
        <f>O415</f>
        <v>Título 60</v>
      </c>
      <c r="X415" s="55"/>
      <c r="Y415" s="55"/>
      <c r="Z415" s="57"/>
      <c r="AA415" s="55"/>
      <c r="AB415" s="55" t="str">
        <f>CONCATENATE("&lt;!-- ",Z415," --&gt;")</f>
        <v>&lt;!--  --&gt;</v>
      </c>
      <c r="AC415" s="56"/>
    </row>
    <row r="416" ht="14.4" spans="7:29">
      <c r="G416" s="61" t="s">
        <v>186</v>
      </c>
      <c r="H416" s="62" t="s">
        <v>187</v>
      </c>
      <c r="I416" s="63" t="s">
        <v>188</v>
      </c>
      <c r="J416" s="64"/>
      <c r="L416" t="str">
        <f>IF(J415&lt;&gt;"","&lt;div&gt;","")</f>
        <v/>
      </c>
      <c r="M416" s="65"/>
      <c r="O416" s="61" t="s">
        <v>186</v>
      </c>
      <c r="P416" s="62" t="s">
        <v>187</v>
      </c>
      <c r="Q416" s="63" t="s">
        <v>188</v>
      </c>
      <c r="T416" t="str">
        <f>CONCATENATE(P416,R416,Q416)</f>
        <v>&lt;div &gt;</v>
      </c>
      <c r="U416" s="65"/>
      <c r="W416" s="61" t="s">
        <v>186</v>
      </c>
      <c r="X416" s="62" t="s">
        <v>187</v>
      </c>
      <c r="Y416" s="63" t="s">
        <v>188</v>
      </c>
      <c r="AB416" t="str">
        <f>CONCATENATE(X416,Z416,Y416)</f>
        <v>&lt;div &gt;</v>
      </c>
      <c r="AC416" s="65"/>
    </row>
    <row r="417" spans="7:29">
      <c r="G417" s="61">
        <f>G410+1</f>
        <v>60</v>
      </c>
      <c r="J417" s="59"/>
      <c r="K417" s="59"/>
      <c r="L417" s="68" t="str">
        <f>CONCATENATE("&lt;h4&gt;",SUBSTITUTE(CONCATENATE(J415," ",J416),"&lt;","&amp;lt;"),"&lt;/h4&gt;")</f>
        <v>&lt;h4&gt; &lt;/h4&gt;</v>
      </c>
      <c r="M417" s="65"/>
      <c r="O417" s="61">
        <f>O410+1</f>
        <v>60</v>
      </c>
      <c r="T417" t="str">
        <f>CONCATENATE("&lt;h5&gt;",R415,"&lt;/h5&gt;")</f>
        <v>&lt;h5&gt;&lt;/h5&gt;</v>
      </c>
      <c r="U417" s="65"/>
      <c r="W417" s="61">
        <f>W410+1</f>
        <v>60</v>
      </c>
      <c r="AB417" t="str">
        <f>CONCATENATE("&lt;",$Y$1,"&gt;",Z415,"&lt;/",$Y$1,"&gt;")</f>
        <v>&lt;h6&gt;&lt;/h6&gt;</v>
      </c>
      <c r="AC417" s="65"/>
    </row>
    <row r="418" spans="7:29">
      <c r="G418" s="61" t="s">
        <v>189</v>
      </c>
      <c r="J418" s="64"/>
      <c r="K418" t="s">
        <v>2</v>
      </c>
      <c r="L418" t="str">
        <f>IF(J418&lt;&gt;"",CONCATENATE("&lt;p&gt;",J418,"&lt;/p&gt;"),"")</f>
        <v/>
      </c>
      <c r="M418" s="65"/>
      <c r="O418" s="61" t="s">
        <v>189</v>
      </c>
      <c r="R418" s="64"/>
      <c r="S418" t="s">
        <v>2</v>
      </c>
      <c r="T418" t="str">
        <f>IF(R418&lt;&gt;"",R418,"")</f>
        <v/>
      </c>
      <c r="U418" s="65"/>
      <c r="W418" s="61" t="s">
        <v>189</v>
      </c>
      <c r="Z418" s="64"/>
      <c r="AA418" t="s">
        <v>2</v>
      </c>
      <c r="AB418" t="str">
        <f>IF(Z418&lt;&gt;"",Z418,"")</f>
        <v/>
      </c>
      <c r="AC418" s="65"/>
    </row>
    <row r="419" spans="7:29">
      <c r="G419" s="61" t="str">
        <f t="shared" ref="G419:G421" si="273">""</f>
        <v/>
      </c>
      <c r="L419" t="s">
        <v>117</v>
      </c>
      <c r="M419" s="65"/>
      <c r="O419" s="61" t="str">
        <f t="shared" ref="O419:O421" si="274">""</f>
        <v/>
      </c>
      <c r="T419" t="s">
        <v>117</v>
      </c>
      <c r="U419" s="65"/>
      <c r="W419" s="61" t="str">
        <f t="shared" ref="W419:W421" si="275">""</f>
        <v/>
      </c>
      <c r="AB419" t="s">
        <v>117</v>
      </c>
      <c r="AC419" s="65"/>
    </row>
    <row r="420" ht="14.55" spans="7:29">
      <c r="G420" s="72" t="str">
        <f t="shared" si="273"/>
        <v/>
      </c>
      <c r="H420" s="49"/>
      <c r="I420" s="49"/>
      <c r="J420" s="49"/>
      <c r="K420" s="49"/>
      <c r="L420" s="49" t="str">
        <f>CONCATENATE("&lt;!-- ",CONCATENATE(J415," ",J416," fin")," --&gt;")</f>
        <v>&lt;!--   fin --&gt;</v>
      </c>
      <c r="M420" s="73"/>
      <c r="O420" s="72" t="str">
        <f t="shared" si="274"/>
        <v/>
      </c>
      <c r="P420" s="49"/>
      <c r="Q420" s="49"/>
      <c r="R420" s="49"/>
      <c r="S420" s="49"/>
      <c r="T420" s="49" t="str">
        <f>CONCATENATE("&lt;!-- ",R415," fin --&gt;")</f>
        <v>&lt;!--  fin --&gt;</v>
      </c>
      <c r="U420" s="73"/>
      <c r="W420" s="72" t="str">
        <f t="shared" si="275"/>
        <v/>
      </c>
      <c r="X420" s="49"/>
      <c r="Y420" s="49"/>
      <c r="Z420" s="49"/>
      <c r="AA420" s="49"/>
      <c r="AB420" s="49" t="str">
        <f>CONCATENATE("&lt;!-- ",Z415," fin --&gt;")</f>
        <v>&lt;!--  fin --&gt;</v>
      </c>
      <c r="AC420" s="73"/>
    </row>
    <row r="421" ht="14.55" spans="7:29">
      <c r="G421" s="61" t="str">
        <f t="shared" si="273"/>
        <v/>
      </c>
      <c r="H421" s="75"/>
      <c r="I421" s="75"/>
      <c r="J421" s="52"/>
      <c r="K421" s="55"/>
      <c r="L421" s="52"/>
      <c r="O421" s="54" t="str">
        <f t="shared" si="274"/>
        <v/>
      </c>
      <c r="P421" s="55"/>
      <c r="Q421" s="55"/>
      <c r="R421" s="52"/>
      <c r="S421" s="55"/>
      <c r="T421" s="49" t="str">
        <f>""</f>
        <v/>
      </c>
      <c r="W421" s="54" t="str">
        <f t="shared" si="275"/>
        <v/>
      </c>
      <c r="X421" s="55"/>
      <c r="Y421" s="55"/>
      <c r="Z421" s="52"/>
      <c r="AA421" s="55"/>
      <c r="AB421" s="49" t="str">
        <f>""</f>
        <v/>
      </c>
    </row>
    <row r="422" spans="7:29">
      <c r="O422" s="54">
        <f>G422</f>
        <v>0</v>
      </c>
      <c r="P422" s="55"/>
      <c r="Q422" s="55"/>
      <c r="R422" s="57"/>
      <c r="S422" s="55"/>
      <c r="T422" s="55" t="str">
        <f>CONCATENATE("&lt;!-- ",R422," --&gt;")</f>
        <v>&lt;!--  --&gt;</v>
      </c>
      <c r="U422" s="56"/>
      <c r="W422" s="54">
        <f>O422</f>
        <v>0</v>
      </c>
      <c r="X422" s="55"/>
      <c r="Y422" s="55"/>
      <c r="Z422" s="57"/>
      <c r="AA422" s="55"/>
      <c r="AB422" s="55" t="str">
        <f>CONCATENATE("&lt;!-- ",Z422," --&gt;")</f>
        <v>&lt;!--  --&gt;</v>
      </c>
      <c r="AC422" s="56"/>
    </row>
    <row r="423" ht="14.4" spans="7:29">
      <c r="O423" s="61" t="s">
        <v>186</v>
      </c>
      <c r="P423" s="62" t="s">
        <v>187</v>
      </c>
      <c r="Q423" s="63" t="s">
        <v>188</v>
      </c>
      <c r="T423" t="str">
        <f>CONCATENATE(P423,R423,Q423)</f>
        <v>&lt;div &gt;</v>
      </c>
      <c r="U423" s="65"/>
      <c r="W423" s="61" t="s">
        <v>186</v>
      </c>
      <c r="X423" s="62" t="s">
        <v>187</v>
      </c>
      <c r="Y423" s="63" t="s">
        <v>188</v>
      </c>
      <c r="AB423" t="str">
        <f>CONCATENATE(X423,Z423,Y423)</f>
        <v>&lt;div &gt;</v>
      </c>
      <c r="AC423" s="65"/>
    </row>
    <row r="424" spans="7:29">
      <c r="O424" s="61">
        <f>O417+1</f>
        <v>61</v>
      </c>
      <c r="T424" t="str">
        <f>CONCATENATE("&lt;h5&gt;",R422,"&lt;/h5&gt;")</f>
        <v>&lt;h5&gt;&lt;/h5&gt;</v>
      </c>
      <c r="U424" s="65"/>
      <c r="W424" s="61">
        <f>W417+1</f>
        <v>61</v>
      </c>
      <c r="AB424" t="str">
        <f>CONCATENATE("&lt;",$Y$1,"&gt;",Z422,"&lt;/",$Y$1,"&gt;")</f>
        <v>&lt;h6&gt;&lt;/h6&gt;</v>
      </c>
      <c r="AC424" s="65"/>
    </row>
    <row r="425" spans="7:29">
      <c r="O425" s="61" t="s">
        <v>189</v>
      </c>
      <c r="R425" s="64"/>
      <c r="S425" t="s">
        <v>2</v>
      </c>
      <c r="T425" t="str">
        <f>IF(R425&lt;&gt;"",R425,"")</f>
        <v/>
      </c>
      <c r="U425" s="65"/>
      <c r="W425" s="61" t="s">
        <v>189</v>
      </c>
      <c r="Z425" s="64"/>
      <c r="AA425" t="s">
        <v>2</v>
      </c>
      <c r="AB425" t="str">
        <f>IF(Z425&lt;&gt;"",Z425,"")</f>
        <v/>
      </c>
      <c r="AC425" s="65"/>
    </row>
    <row r="426" spans="7:29">
      <c r="O426" s="61" t="str">
        <f t="shared" ref="O426:O428" si="276">""</f>
        <v/>
      </c>
      <c r="T426" t="s">
        <v>117</v>
      </c>
      <c r="U426" s="65"/>
      <c r="W426" s="61" t="str">
        <f t="shared" ref="W426:W428" si="277">""</f>
        <v/>
      </c>
      <c r="AB426" t="s">
        <v>117</v>
      </c>
      <c r="AC426" s="65"/>
    </row>
    <row r="427" ht="14.55" spans="7:29">
      <c r="O427" s="72" t="str">
        <f t="shared" si="276"/>
        <v/>
      </c>
      <c r="P427" s="49"/>
      <c r="Q427" s="49"/>
      <c r="R427" s="49"/>
      <c r="S427" s="49"/>
      <c r="T427" s="49" t="str">
        <f>CONCATENATE("&lt;!-- ",R422," fin --&gt;")</f>
        <v>&lt;!--  fin --&gt;</v>
      </c>
      <c r="U427" s="73"/>
      <c r="W427" s="72" t="str">
        <f t="shared" si="277"/>
        <v/>
      </c>
      <c r="X427" s="49"/>
      <c r="Y427" s="49"/>
      <c r="Z427" s="49"/>
      <c r="AA427" s="49"/>
      <c r="AB427" s="49" t="str">
        <f>CONCATENATE("&lt;!-- ",Z422," fin --&gt;")</f>
        <v>&lt;!--  fin --&gt;</v>
      </c>
      <c r="AC427" s="73"/>
    </row>
    <row r="428" ht="14.55" spans="7:29">
      <c r="O428" s="54" t="str">
        <f t="shared" si="276"/>
        <v/>
      </c>
      <c r="P428" s="55"/>
      <c r="Q428" s="55"/>
      <c r="R428" s="52"/>
      <c r="S428" s="55"/>
      <c r="T428" s="49" t="str">
        <f>""</f>
        <v/>
      </c>
      <c r="W428" s="54" t="str">
        <f t="shared" si="277"/>
        <v/>
      </c>
      <c r="X428" s="55"/>
      <c r="Y428" s="55"/>
      <c r="Z428" s="52"/>
      <c r="AA428" s="55"/>
      <c r="AB428" s="49" t="str">
        <f>""</f>
        <v/>
      </c>
    </row>
    <row r="429" spans="7:29">
      <c r="O429" s="54">
        <f>G429</f>
        <v>0</v>
      </c>
      <c r="P429" s="55"/>
      <c r="Q429" s="55"/>
      <c r="R429" s="57"/>
      <c r="S429" s="55"/>
      <c r="T429" s="55" t="str">
        <f>CONCATENATE("&lt;!-- ",R429," --&gt;")</f>
        <v>&lt;!--  --&gt;</v>
      </c>
      <c r="U429" s="56"/>
      <c r="W429" s="54">
        <f>O429</f>
        <v>0</v>
      </c>
      <c r="X429" s="55"/>
      <c r="Y429" s="55"/>
      <c r="Z429" s="57"/>
      <c r="AA429" s="55"/>
      <c r="AB429" s="55" t="str">
        <f>CONCATENATE("&lt;!-- ",Z429," --&gt;")</f>
        <v>&lt;!--  --&gt;</v>
      </c>
      <c r="AC429" s="56"/>
    </row>
    <row r="430" ht="14.4" spans="7:29">
      <c r="O430" s="61" t="s">
        <v>186</v>
      </c>
      <c r="P430" s="62" t="s">
        <v>187</v>
      </c>
      <c r="Q430" s="63" t="s">
        <v>188</v>
      </c>
      <c r="T430" t="str">
        <f>CONCATENATE(P430,R430,Q430)</f>
        <v>&lt;div &gt;</v>
      </c>
      <c r="U430" s="65"/>
      <c r="W430" s="61" t="s">
        <v>186</v>
      </c>
      <c r="X430" s="62" t="s">
        <v>187</v>
      </c>
      <c r="Y430" s="63" t="s">
        <v>188</v>
      </c>
      <c r="AB430" t="str">
        <f>CONCATENATE(X430,Z430,Y430)</f>
        <v>&lt;div &gt;</v>
      </c>
      <c r="AC430" s="65"/>
    </row>
    <row r="431" spans="7:29">
      <c r="O431" s="61">
        <f>O424+1</f>
        <v>62</v>
      </c>
      <c r="T431" t="str">
        <f>CONCATENATE("&lt;h5&gt;",R429,"&lt;/h5&gt;")</f>
        <v>&lt;h5&gt;&lt;/h5&gt;</v>
      </c>
      <c r="U431" s="65"/>
      <c r="W431" s="61">
        <f>W424+1</f>
        <v>62</v>
      </c>
      <c r="AB431" t="str">
        <f>CONCATENATE("&lt;",$Y$1,"&gt;",Z429,"&lt;/",$Y$1,"&gt;")</f>
        <v>&lt;h6&gt;&lt;/h6&gt;</v>
      </c>
      <c r="AC431" s="65"/>
    </row>
    <row r="432" spans="7:29">
      <c r="O432" s="61" t="s">
        <v>189</v>
      </c>
      <c r="R432" s="64"/>
      <c r="S432" t="s">
        <v>2</v>
      </c>
      <c r="T432" t="str">
        <f>IF(R432&lt;&gt;"",R432,"")</f>
        <v/>
      </c>
      <c r="U432" s="65"/>
      <c r="W432" s="61" t="s">
        <v>189</v>
      </c>
      <c r="Z432" s="64"/>
      <c r="AA432" t="s">
        <v>2</v>
      </c>
      <c r="AB432" t="str">
        <f>IF(Z432&lt;&gt;"",Z432,"")</f>
        <v/>
      </c>
      <c r="AC432" s="65"/>
    </row>
    <row r="433" spans="15:29">
      <c r="O433" s="61" t="str">
        <f t="shared" ref="O433:O435" si="278">""</f>
        <v/>
      </c>
      <c r="T433" t="s">
        <v>117</v>
      </c>
      <c r="U433" s="65"/>
      <c r="W433" s="61" t="str">
        <f t="shared" ref="W433:W435" si="279">""</f>
        <v/>
      </c>
      <c r="AB433" t="s">
        <v>117</v>
      </c>
      <c r="AC433" s="65"/>
    </row>
    <row r="434" ht="14.55" spans="15:29">
      <c r="O434" s="72" t="str">
        <f t="shared" si="278"/>
        <v/>
      </c>
      <c r="P434" s="49"/>
      <c r="Q434" s="49"/>
      <c r="R434" s="49"/>
      <c r="S434" s="49"/>
      <c r="T434" s="49" t="str">
        <f>CONCATENATE("&lt;!-- ",R429," fin --&gt;")</f>
        <v>&lt;!--  fin --&gt;</v>
      </c>
      <c r="U434" s="73"/>
      <c r="W434" s="72" t="str">
        <f t="shared" si="279"/>
        <v/>
      </c>
      <c r="X434" s="49"/>
      <c r="Y434" s="49"/>
      <c r="Z434" s="49"/>
      <c r="AA434" s="49"/>
      <c r="AB434" s="49" t="str">
        <f>CONCATENATE("&lt;!-- ",Z429," fin --&gt;")</f>
        <v>&lt;!--  fin --&gt;</v>
      </c>
      <c r="AC434" s="73"/>
    </row>
    <row r="435" ht="14.55" spans="15:29">
      <c r="O435" s="54" t="str">
        <f t="shared" si="278"/>
        <v/>
      </c>
      <c r="P435" s="55"/>
      <c r="Q435" s="55"/>
      <c r="R435" s="52"/>
      <c r="S435" s="55"/>
      <c r="T435" s="49" t="str">
        <f>""</f>
        <v/>
      </c>
      <c r="W435" s="54" t="str">
        <f t="shared" si="279"/>
        <v/>
      </c>
      <c r="X435" s="55"/>
      <c r="Y435" s="55"/>
      <c r="Z435" s="52"/>
      <c r="AA435" s="55"/>
      <c r="AB435" s="49" t="str">
        <f>""</f>
        <v/>
      </c>
    </row>
    <row r="436" spans="15:29">
      <c r="O436" s="54">
        <f>G436</f>
        <v>0</v>
      </c>
      <c r="P436" s="55"/>
      <c r="Q436" s="55"/>
      <c r="R436" s="57"/>
      <c r="S436" s="55"/>
      <c r="T436" s="55" t="str">
        <f>CONCATENATE("&lt;!-- ",R436," --&gt;")</f>
        <v>&lt;!--  --&gt;</v>
      </c>
      <c r="U436" s="56"/>
      <c r="W436" s="54">
        <f>O436</f>
        <v>0</v>
      </c>
      <c r="X436" s="55"/>
      <c r="Y436" s="55"/>
      <c r="Z436" s="57"/>
      <c r="AA436" s="55"/>
      <c r="AB436" s="55" t="str">
        <f>CONCATENATE("&lt;!-- ",Z436," --&gt;")</f>
        <v>&lt;!--  --&gt;</v>
      </c>
      <c r="AC436" s="56"/>
    </row>
    <row r="437" ht="14.4" spans="15:29">
      <c r="O437" s="61" t="s">
        <v>186</v>
      </c>
      <c r="P437" s="62" t="s">
        <v>187</v>
      </c>
      <c r="Q437" s="63" t="s">
        <v>188</v>
      </c>
      <c r="T437" t="str">
        <f>CONCATENATE(P437,R437,Q437)</f>
        <v>&lt;div &gt;</v>
      </c>
      <c r="U437" s="65"/>
      <c r="W437" s="61" t="s">
        <v>186</v>
      </c>
      <c r="X437" s="62" t="s">
        <v>187</v>
      </c>
      <c r="Y437" s="63" t="s">
        <v>188</v>
      </c>
      <c r="AB437" t="str">
        <f>CONCATENATE(X437,Z437,Y437)</f>
        <v>&lt;div &gt;</v>
      </c>
      <c r="AC437" s="65"/>
    </row>
    <row r="438" spans="15:29">
      <c r="O438" s="61">
        <f>O431+1</f>
        <v>63</v>
      </c>
      <c r="T438" t="str">
        <f>CONCATENATE("&lt;h5&gt;",R436,"&lt;/h5&gt;")</f>
        <v>&lt;h5&gt;&lt;/h5&gt;</v>
      </c>
      <c r="U438" s="65"/>
      <c r="W438" s="61">
        <f>W431+1</f>
        <v>63</v>
      </c>
      <c r="AB438" t="str">
        <f>CONCATENATE("&lt;",$Y$1,"&gt;",Z436,"&lt;/",$Y$1,"&gt;")</f>
        <v>&lt;h6&gt;&lt;/h6&gt;</v>
      </c>
      <c r="AC438" s="65"/>
    </row>
    <row r="439" spans="15:29">
      <c r="O439" s="61" t="s">
        <v>189</v>
      </c>
      <c r="R439" s="64"/>
      <c r="S439" t="s">
        <v>2</v>
      </c>
      <c r="T439" t="str">
        <f>IF(R439&lt;&gt;"",R439,"")</f>
        <v/>
      </c>
      <c r="U439" s="65"/>
      <c r="W439" s="61" t="s">
        <v>189</v>
      </c>
      <c r="Z439" s="64"/>
      <c r="AA439" t="s">
        <v>2</v>
      </c>
      <c r="AB439" t="str">
        <f>IF(Z439&lt;&gt;"",Z439,"")</f>
        <v/>
      </c>
      <c r="AC439" s="65"/>
    </row>
    <row r="440" spans="15:29">
      <c r="O440" s="61" t="str">
        <f t="shared" ref="O440:O442" si="280">""</f>
        <v/>
      </c>
      <c r="T440" t="s">
        <v>117</v>
      </c>
      <c r="U440" s="65"/>
      <c r="W440" s="61" t="str">
        <f t="shared" ref="W440:W442" si="281">""</f>
        <v/>
      </c>
      <c r="AB440" t="s">
        <v>117</v>
      </c>
      <c r="AC440" s="65"/>
    </row>
    <row r="441" ht="14.55" spans="15:29">
      <c r="O441" s="72" t="str">
        <f t="shared" si="280"/>
        <v/>
      </c>
      <c r="P441" s="49"/>
      <c r="Q441" s="49"/>
      <c r="R441" s="49"/>
      <c r="S441" s="49"/>
      <c r="T441" s="49" t="str">
        <f>CONCATENATE("&lt;!-- ",R436," fin --&gt;")</f>
        <v>&lt;!--  fin --&gt;</v>
      </c>
      <c r="U441" s="73"/>
      <c r="W441" s="72" t="str">
        <f t="shared" si="281"/>
        <v/>
      </c>
      <c r="X441" s="49"/>
      <c r="Y441" s="49"/>
      <c r="Z441" s="49"/>
      <c r="AA441" s="49"/>
      <c r="AB441" s="49" t="str">
        <f>CONCATENATE("&lt;!-- ",Z436," fin --&gt;")</f>
        <v>&lt;!--  fin --&gt;</v>
      </c>
      <c r="AC441" s="73"/>
    </row>
    <row r="442" ht="14.55" spans="15:29">
      <c r="O442" s="54" t="str">
        <f t="shared" si="280"/>
        <v/>
      </c>
      <c r="P442" s="55"/>
      <c r="Q442" s="55"/>
      <c r="R442" s="52"/>
      <c r="S442" s="55"/>
      <c r="T442" s="49" t="str">
        <f>""</f>
        <v/>
      </c>
      <c r="W442" s="54" t="str">
        <f t="shared" si="281"/>
        <v/>
      </c>
      <c r="X442" s="55"/>
      <c r="Y442" s="55"/>
      <c r="Z442" s="52"/>
      <c r="AA442" s="55"/>
      <c r="AB442" s="49" t="str">
        <f>""</f>
        <v/>
      </c>
    </row>
    <row r="443" spans="15:29">
      <c r="O443" s="54">
        <f>G443</f>
        <v>0</v>
      </c>
      <c r="P443" s="55"/>
      <c r="Q443" s="55"/>
      <c r="R443" s="57"/>
      <c r="S443" s="55"/>
      <c r="T443" s="55" t="str">
        <f>CONCATENATE("&lt;!-- ",R443," --&gt;")</f>
        <v>&lt;!--  --&gt;</v>
      </c>
      <c r="U443" s="56"/>
      <c r="W443" s="54">
        <f>O443</f>
        <v>0</v>
      </c>
      <c r="X443" s="55"/>
      <c r="Y443" s="55"/>
      <c r="Z443" s="57"/>
      <c r="AA443" s="55"/>
      <c r="AB443" s="55" t="str">
        <f>CONCATENATE("&lt;!-- ",Z443," --&gt;")</f>
        <v>&lt;!--  --&gt;</v>
      </c>
      <c r="AC443" s="56"/>
    </row>
    <row r="444" ht="14.4" spans="15:29">
      <c r="O444" s="61" t="s">
        <v>186</v>
      </c>
      <c r="P444" s="62" t="s">
        <v>187</v>
      </c>
      <c r="Q444" s="63" t="s">
        <v>188</v>
      </c>
      <c r="T444" t="str">
        <f>CONCATENATE(P444,R444,Q444)</f>
        <v>&lt;div &gt;</v>
      </c>
      <c r="U444" s="65"/>
      <c r="W444" s="61" t="s">
        <v>186</v>
      </c>
      <c r="X444" s="62" t="s">
        <v>187</v>
      </c>
      <c r="Y444" s="63" t="s">
        <v>188</v>
      </c>
      <c r="AB444" t="str">
        <f>CONCATENATE(X444,Z444,Y444)</f>
        <v>&lt;div &gt;</v>
      </c>
      <c r="AC444" s="65"/>
    </row>
    <row r="445" spans="15:29">
      <c r="O445" s="61">
        <f>O438+1</f>
        <v>64</v>
      </c>
      <c r="T445" t="str">
        <f>CONCATENATE("&lt;h5&gt;",R443,"&lt;/h5&gt;")</f>
        <v>&lt;h5&gt;&lt;/h5&gt;</v>
      </c>
      <c r="U445" s="65"/>
      <c r="W445" s="61">
        <f>W438+1</f>
        <v>64</v>
      </c>
      <c r="AB445" t="str">
        <f>CONCATENATE("&lt;",$Y$1,"&gt;",Z443,"&lt;/",$Y$1,"&gt;")</f>
        <v>&lt;h6&gt;&lt;/h6&gt;</v>
      </c>
      <c r="AC445" s="65"/>
    </row>
    <row r="446" spans="15:29">
      <c r="O446" s="61" t="s">
        <v>189</v>
      </c>
      <c r="R446" s="64"/>
      <c r="S446" t="s">
        <v>2</v>
      </c>
      <c r="T446" t="str">
        <f>IF(R446&lt;&gt;"",R446,"")</f>
        <v/>
      </c>
      <c r="U446" s="65"/>
      <c r="W446" s="61" t="s">
        <v>189</v>
      </c>
      <c r="Z446" s="64"/>
      <c r="AA446" t="s">
        <v>2</v>
      </c>
      <c r="AB446" t="str">
        <f>IF(Z446&lt;&gt;"",Z446,"")</f>
        <v/>
      </c>
      <c r="AC446" s="65"/>
    </row>
    <row r="447" spans="15:29">
      <c r="O447" s="61" t="str">
        <f t="shared" ref="O447:O449" si="282">""</f>
        <v/>
      </c>
      <c r="T447" t="s">
        <v>117</v>
      </c>
      <c r="U447" s="65"/>
      <c r="W447" s="61" t="str">
        <f t="shared" ref="W447:W449" si="283">""</f>
        <v/>
      </c>
      <c r="AB447" t="s">
        <v>117</v>
      </c>
      <c r="AC447" s="65"/>
    </row>
    <row r="448" ht="14.55" spans="15:29">
      <c r="O448" s="72" t="str">
        <f t="shared" si="282"/>
        <v/>
      </c>
      <c r="P448" s="49"/>
      <c r="Q448" s="49"/>
      <c r="R448" s="49"/>
      <c r="S448" s="49"/>
      <c r="T448" s="49" t="str">
        <f>CONCATENATE("&lt;!-- ",R443," fin --&gt;")</f>
        <v>&lt;!--  fin --&gt;</v>
      </c>
      <c r="U448" s="73"/>
      <c r="W448" s="72" t="str">
        <f t="shared" si="283"/>
        <v/>
      </c>
      <c r="X448" s="49"/>
      <c r="Y448" s="49"/>
      <c r="Z448" s="49"/>
      <c r="AA448" s="49"/>
      <c r="AB448" s="49" t="str">
        <f>CONCATENATE("&lt;!-- ",Z443," fin --&gt;")</f>
        <v>&lt;!--  fin --&gt;</v>
      </c>
      <c r="AC448" s="73"/>
    </row>
    <row r="449" ht="14.55" spans="15:29">
      <c r="O449" s="54" t="str">
        <f t="shared" si="282"/>
        <v/>
      </c>
      <c r="P449" s="55"/>
      <c r="Q449" s="55"/>
      <c r="R449" s="52"/>
      <c r="S449" s="55"/>
      <c r="T449" s="49" t="str">
        <f>""</f>
        <v/>
      </c>
      <c r="W449" s="54" t="str">
        <f t="shared" si="283"/>
        <v/>
      </c>
      <c r="X449" s="55"/>
      <c r="Y449" s="55"/>
      <c r="Z449" s="52"/>
      <c r="AA449" s="55"/>
      <c r="AB449" s="49" t="str">
        <f>""</f>
        <v/>
      </c>
    </row>
    <row r="450" spans="15:29">
      <c r="O450" s="54">
        <f>G450</f>
        <v>0</v>
      </c>
      <c r="P450" s="55"/>
      <c r="Q450" s="55"/>
      <c r="R450" s="57"/>
      <c r="S450" s="55"/>
      <c r="T450" s="55" t="str">
        <f>CONCATENATE("&lt;!-- ",R450," --&gt;")</f>
        <v>&lt;!--  --&gt;</v>
      </c>
      <c r="U450" s="56"/>
      <c r="W450" s="54">
        <f>O450</f>
        <v>0</v>
      </c>
      <c r="X450" s="55"/>
      <c r="Y450" s="55"/>
      <c r="Z450" s="57"/>
      <c r="AA450" s="55"/>
      <c r="AB450" s="55" t="str">
        <f>CONCATENATE("&lt;!-- ",Z450," --&gt;")</f>
        <v>&lt;!--  --&gt;</v>
      </c>
      <c r="AC450" s="56"/>
    </row>
    <row r="451" ht="14.4" spans="15:29">
      <c r="O451" s="61" t="s">
        <v>186</v>
      </c>
      <c r="P451" s="62" t="s">
        <v>187</v>
      </c>
      <c r="Q451" s="63" t="s">
        <v>188</v>
      </c>
      <c r="T451" t="str">
        <f>CONCATENATE(P451,R451,Q451)</f>
        <v>&lt;div &gt;</v>
      </c>
      <c r="U451" s="65"/>
      <c r="W451" s="61" t="s">
        <v>186</v>
      </c>
      <c r="X451" s="62" t="s">
        <v>187</v>
      </c>
      <c r="Y451" s="63" t="s">
        <v>188</v>
      </c>
      <c r="AB451" t="str">
        <f>CONCATENATE(X451,Z451,Y451)</f>
        <v>&lt;div &gt;</v>
      </c>
      <c r="AC451" s="65"/>
    </row>
    <row r="452" spans="15:29">
      <c r="O452" s="61">
        <f>O445+1</f>
        <v>65</v>
      </c>
      <c r="T452" t="str">
        <f>CONCATENATE("&lt;h5&gt;",R450,"&lt;/h5&gt;")</f>
        <v>&lt;h5&gt;&lt;/h5&gt;</v>
      </c>
      <c r="U452" s="65"/>
      <c r="W452" s="61">
        <f>W445+1</f>
        <v>65</v>
      </c>
      <c r="AB452" t="str">
        <f>CONCATENATE("&lt;",$Y$1,"&gt;",Z450,"&lt;/",$Y$1,"&gt;")</f>
        <v>&lt;h6&gt;&lt;/h6&gt;</v>
      </c>
      <c r="AC452" s="65"/>
    </row>
    <row r="453" spans="15:29">
      <c r="O453" s="61" t="s">
        <v>189</v>
      </c>
      <c r="R453" s="64"/>
      <c r="S453" t="s">
        <v>2</v>
      </c>
      <c r="T453" t="str">
        <f>IF(R453&lt;&gt;"",R453,"")</f>
        <v/>
      </c>
      <c r="U453" s="65"/>
      <c r="W453" s="61" t="s">
        <v>189</v>
      </c>
      <c r="Z453" s="64"/>
      <c r="AA453" t="s">
        <v>2</v>
      </c>
      <c r="AB453" t="str">
        <f>IF(Z453&lt;&gt;"",Z453,"")</f>
        <v/>
      </c>
      <c r="AC453" s="65"/>
    </row>
    <row r="454" spans="15:29">
      <c r="O454" s="61" t="str">
        <f t="shared" ref="O454:O456" si="284">""</f>
        <v/>
      </c>
      <c r="T454" t="s">
        <v>117</v>
      </c>
      <c r="U454" s="65"/>
      <c r="W454" s="61" t="str">
        <f t="shared" ref="W454:W456" si="285">""</f>
        <v/>
      </c>
      <c r="AB454" t="s">
        <v>117</v>
      </c>
      <c r="AC454" s="65"/>
    </row>
    <row r="455" ht="14.55" spans="15:29">
      <c r="O455" s="72" t="str">
        <f t="shared" si="284"/>
        <v/>
      </c>
      <c r="P455" s="49"/>
      <c r="Q455" s="49"/>
      <c r="R455" s="49"/>
      <c r="S455" s="49"/>
      <c r="T455" s="49" t="str">
        <f>CONCATENATE("&lt;!-- ",R450," fin --&gt;")</f>
        <v>&lt;!--  fin --&gt;</v>
      </c>
      <c r="U455" s="73"/>
      <c r="W455" s="72" t="str">
        <f t="shared" si="285"/>
        <v/>
      </c>
      <c r="X455" s="49"/>
      <c r="Y455" s="49"/>
      <c r="Z455" s="49"/>
      <c r="AA455" s="49"/>
      <c r="AB455" s="49" t="str">
        <f>CONCATENATE("&lt;!-- ",Z450," fin --&gt;")</f>
        <v>&lt;!--  fin --&gt;</v>
      </c>
      <c r="AC455" s="73"/>
    </row>
    <row r="456" ht="14.55" spans="15:29">
      <c r="O456" s="54" t="str">
        <f t="shared" si="284"/>
        <v/>
      </c>
      <c r="P456" s="55"/>
      <c r="Q456" s="55"/>
      <c r="R456" s="52"/>
      <c r="S456" s="55"/>
      <c r="T456" s="49" t="str">
        <f>""</f>
        <v/>
      </c>
      <c r="W456" s="54" t="str">
        <f t="shared" si="285"/>
        <v/>
      </c>
      <c r="X456" s="55"/>
      <c r="Y456" s="55"/>
      <c r="Z456" s="52"/>
      <c r="AA456" s="55"/>
      <c r="AB456" s="49" t="str">
        <f>""</f>
        <v/>
      </c>
    </row>
    <row r="457" spans="15:29">
      <c r="O457" s="54">
        <f>G457</f>
        <v>0</v>
      </c>
      <c r="P457" s="55"/>
      <c r="Q457" s="55"/>
      <c r="R457" s="57"/>
      <c r="S457" s="55"/>
      <c r="T457" s="55" t="str">
        <f>CONCATENATE("&lt;!-- ",R457," --&gt;")</f>
        <v>&lt;!--  --&gt;</v>
      </c>
      <c r="U457" s="56"/>
      <c r="W457" s="54">
        <f>O457</f>
        <v>0</v>
      </c>
      <c r="X457" s="55"/>
      <c r="Y457" s="55"/>
      <c r="Z457" s="57"/>
      <c r="AA457" s="55"/>
      <c r="AB457" s="55" t="str">
        <f>CONCATENATE("&lt;!-- ",Z457," --&gt;")</f>
        <v>&lt;!--  --&gt;</v>
      </c>
      <c r="AC457" s="56"/>
    </row>
    <row r="458" ht="14.4" spans="15:29">
      <c r="O458" s="61" t="s">
        <v>186</v>
      </c>
      <c r="P458" s="62" t="s">
        <v>187</v>
      </c>
      <c r="Q458" s="63" t="s">
        <v>188</v>
      </c>
      <c r="T458" t="str">
        <f>CONCATENATE(P458,R458,Q458)</f>
        <v>&lt;div &gt;</v>
      </c>
      <c r="U458" s="65"/>
      <c r="W458" s="61" t="s">
        <v>186</v>
      </c>
      <c r="X458" s="62" t="s">
        <v>187</v>
      </c>
      <c r="Y458" s="63" t="s">
        <v>188</v>
      </c>
      <c r="AB458" t="str">
        <f>CONCATENATE(X458,Z458,Y458)</f>
        <v>&lt;div &gt;</v>
      </c>
      <c r="AC458" s="65"/>
    </row>
    <row r="459" spans="15:29">
      <c r="O459" s="61">
        <f>O452+1</f>
        <v>66</v>
      </c>
      <c r="T459" t="str">
        <f>CONCATENATE("&lt;h5&gt;",R457,"&lt;/h5&gt;")</f>
        <v>&lt;h5&gt;&lt;/h5&gt;</v>
      </c>
      <c r="U459" s="65"/>
      <c r="W459" s="61">
        <f>W452+1</f>
        <v>66</v>
      </c>
      <c r="AB459" t="str">
        <f>CONCATENATE("&lt;",$Y$1,"&gt;",Z457,"&lt;/",$Y$1,"&gt;")</f>
        <v>&lt;h6&gt;&lt;/h6&gt;</v>
      </c>
      <c r="AC459" s="65"/>
    </row>
    <row r="460" spans="15:29">
      <c r="O460" s="61" t="s">
        <v>189</v>
      </c>
      <c r="R460" s="64"/>
      <c r="S460" t="s">
        <v>2</v>
      </c>
      <c r="T460" t="str">
        <f>IF(R460&lt;&gt;"",R460,"")</f>
        <v/>
      </c>
      <c r="U460" s="65"/>
      <c r="W460" s="61" t="s">
        <v>189</v>
      </c>
      <c r="Z460" s="64"/>
      <c r="AA460" t="s">
        <v>2</v>
      </c>
      <c r="AB460" t="str">
        <f>IF(Z460&lt;&gt;"",Z460,"")</f>
        <v/>
      </c>
      <c r="AC460" s="65"/>
    </row>
    <row r="461" spans="15:29">
      <c r="O461" s="61" t="str">
        <f t="shared" ref="O461:O463" si="286">""</f>
        <v/>
      </c>
      <c r="T461" t="s">
        <v>117</v>
      </c>
      <c r="U461" s="65"/>
      <c r="W461" s="61" t="str">
        <f t="shared" ref="W461:W463" si="287">""</f>
        <v/>
      </c>
      <c r="AB461" t="s">
        <v>117</v>
      </c>
      <c r="AC461" s="65"/>
    </row>
    <row r="462" ht="14.55" spans="15:29">
      <c r="O462" s="72" t="str">
        <f t="shared" si="286"/>
        <v/>
      </c>
      <c r="P462" s="49"/>
      <c r="Q462" s="49"/>
      <c r="R462" s="49"/>
      <c r="S462" s="49"/>
      <c r="T462" s="49" t="str">
        <f>CONCATENATE("&lt;!-- ",R457," fin --&gt;")</f>
        <v>&lt;!--  fin --&gt;</v>
      </c>
      <c r="U462" s="73"/>
      <c r="W462" s="72" t="str">
        <f t="shared" si="287"/>
        <v/>
      </c>
      <c r="X462" s="49"/>
      <c r="Y462" s="49"/>
      <c r="Z462" s="49"/>
      <c r="AA462" s="49"/>
      <c r="AB462" s="49" t="str">
        <f>CONCATENATE("&lt;!-- ",Z457," fin --&gt;")</f>
        <v>&lt;!--  fin --&gt;</v>
      </c>
      <c r="AC462" s="73"/>
    </row>
    <row r="463" ht="14.55" spans="15:29">
      <c r="O463" s="54" t="str">
        <f t="shared" si="286"/>
        <v/>
      </c>
      <c r="P463" s="55"/>
      <c r="Q463" s="55"/>
      <c r="R463" s="52"/>
      <c r="S463" s="55"/>
      <c r="T463" s="49" t="str">
        <f>""</f>
        <v/>
      </c>
      <c r="W463" s="54" t="str">
        <f t="shared" si="287"/>
        <v/>
      </c>
      <c r="X463" s="55"/>
      <c r="Y463" s="55"/>
      <c r="Z463" s="52"/>
      <c r="AA463" s="55"/>
      <c r="AB463" s="49" t="str">
        <f>""</f>
        <v/>
      </c>
    </row>
  </sheetData>
  <conditionalFormatting sqref="J9">
    <cfRule type="duplicateValues" dxfId="0" priority="1114"/>
  </conditionalFormatting>
  <conditionalFormatting sqref="J11">
    <cfRule type="duplicateValues" dxfId="0" priority="1113"/>
  </conditionalFormatting>
  <conditionalFormatting sqref="J16">
    <cfRule type="duplicateValues" dxfId="0" priority="380"/>
  </conditionalFormatting>
  <conditionalFormatting sqref="J18">
    <cfRule type="duplicateValues" dxfId="0" priority="322"/>
  </conditionalFormatting>
  <conditionalFormatting sqref="J23">
    <cfRule type="duplicateValues" dxfId="0" priority="379"/>
  </conditionalFormatting>
  <conditionalFormatting sqref="J25">
    <cfRule type="duplicateValues" dxfId="0" priority="321"/>
  </conditionalFormatting>
  <conditionalFormatting sqref="J30">
    <cfRule type="duplicateValues" dxfId="0" priority="378"/>
  </conditionalFormatting>
  <conditionalFormatting sqref="J32">
    <cfRule type="duplicateValues" dxfId="0" priority="320"/>
  </conditionalFormatting>
  <conditionalFormatting sqref="B37">
    <cfRule type="duplicateValues" dxfId="0" priority="44"/>
  </conditionalFormatting>
  <conditionalFormatting sqref="J37">
    <cfRule type="duplicateValues" dxfId="0" priority="377"/>
  </conditionalFormatting>
  <conditionalFormatting sqref="J39">
    <cfRule type="duplicateValues" dxfId="0" priority="319"/>
  </conditionalFormatting>
  <conditionalFormatting sqref="J44">
    <cfRule type="duplicateValues" dxfId="0" priority="1"/>
  </conditionalFormatting>
  <conditionalFormatting sqref="J46">
    <cfRule type="duplicateValues" dxfId="0" priority="318"/>
  </conditionalFormatting>
  <conditionalFormatting sqref="J51">
    <cfRule type="duplicateValues" dxfId="0" priority="29"/>
  </conditionalFormatting>
  <conditionalFormatting sqref="J53">
    <cfRule type="duplicateValues" dxfId="0" priority="15"/>
  </conditionalFormatting>
  <conditionalFormatting sqref="J58">
    <cfRule type="duplicateValues" dxfId="0" priority="28"/>
  </conditionalFormatting>
  <conditionalFormatting sqref="J60">
    <cfRule type="duplicateValues" dxfId="0" priority="14"/>
  </conditionalFormatting>
  <conditionalFormatting sqref="J65">
    <cfRule type="duplicateValues" dxfId="0" priority="27"/>
  </conditionalFormatting>
  <conditionalFormatting sqref="J67">
    <cfRule type="duplicateValues" dxfId="0" priority="13"/>
  </conditionalFormatting>
  <conditionalFormatting sqref="J72">
    <cfRule type="duplicateValues" dxfId="0" priority="26"/>
  </conditionalFormatting>
  <conditionalFormatting sqref="J74">
    <cfRule type="duplicateValues" dxfId="0" priority="12"/>
  </conditionalFormatting>
  <conditionalFormatting sqref="J79">
    <cfRule type="duplicateValues" dxfId="0" priority="25"/>
  </conditionalFormatting>
  <conditionalFormatting sqref="J81">
    <cfRule type="duplicateValues" dxfId="0" priority="11"/>
  </conditionalFormatting>
  <conditionalFormatting sqref="J86">
    <cfRule type="duplicateValues" dxfId="0" priority="24"/>
  </conditionalFormatting>
  <conditionalFormatting sqref="J88">
    <cfRule type="duplicateValues" dxfId="0" priority="10"/>
  </conditionalFormatting>
  <conditionalFormatting sqref="J93">
    <cfRule type="duplicateValues" dxfId="0" priority="23"/>
  </conditionalFormatting>
  <conditionalFormatting sqref="J95">
    <cfRule type="duplicateValues" dxfId="0" priority="9"/>
  </conditionalFormatting>
  <conditionalFormatting sqref="J100">
    <cfRule type="duplicateValues" dxfId="0" priority="22"/>
  </conditionalFormatting>
  <conditionalFormatting sqref="R100">
    <cfRule type="duplicateValues" dxfId="0" priority="193"/>
  </conditionalFormatting>
  <conditionalFormatting sqref="Z100">
    <cfRule type="duplicateValues" dxfId="0" priority="49"/>
  </conditionalFormatting>
  <conditionalFormatting sqref="J102">
    <cfRule type="duplicateValues" dxfId="0" priority="8"/>
  </conditionalFormatting>
  <conditionalFormatting sqref="J107">
    <cfRule type="duplicateValues" dxfId="0" priority="21"/>
  </conditionalFormatting>
  <conditionalFormatting sqref="J109">
    <cfRule type="duplicateValues" dxfId="0" priority="7"/>
  </conditionalFormatting>
  <conditionalFormatting sqref="J114">
    <cfRule type="duplicateValues" dxfId="0" priority="20"/>
  </conditionalFormatting>
  <conditionalFormatting sqref="J116">
    <cfRule type="duplicateValues" dxfId="0" priority="6"/>
  </conditionalFormatting>
  <conditionalFormatting sqref="J121">
    <cfRule type="duplicateValues" dxfId="0" priority="19"/>
  </conditionalFormatting>
  <conditionalFormatting sqref="J123">
    <cfRule type="duplicateValues" dxfId="0" priority="5"/>
  </conditionalFormatting>
  <conditionalFormatting sqref="J128">
    <cfRule type="duplicateValues" dxfId="0" priority="18"/>
  </conditionalFormatting>
  <conditionalFormatting sqref="J130">
    <cfRule type="duplicateValues" dxfId="0" priority="4"/>
  </conditionalFormatting>
  <conditionalFormatting sqref="J135">
    <cfRule type="duplicateValues" dxfId="0" priority="17"/>
  </conditionalFormatting>
  <conditionalFormatting sqref="J137">
    <cfRule type="duplicateValues" dxfId="0" priority="3"/>
  </conditionalFormatting>
  <conditionalFormatting sqref="J142">
    <cfRule type="duplicateValues" dxfId="0" priority="16"/>
  </conditionalFormatting>
  <conditionalFormatting sqref="J144">
    <cfRule type="duplicateValues" dxfId="0" priority="2"/>
  </conditionalFormatting>
  <conditionalFormatting sqref="J151">
    <cfRule type="duplicateValues" dxfId="0" priority="143"/>
  </conditionalFormatting>
  <conditionalFormatting sqref="J155">
    <cfRule type="duplicateValues" dxfId="0" priority="419"/>
  </conditionalFormatting>
  <conditionalFormatting sqref="J156">
    <cfRule type="duplicateValues" dxfId="0" priority="360"/>
  </conditionalFormatting>
  <conditionalFormatting sqref="J158">
    <cfRule type="duplicateValues" dxfId="0" priority="302"/>
  </conditionalFormatting>
  <conditionalFormatting sqref="J163">
    <cfRule type="duplicateValues" dxfId="0" priority="191"/>
  </conditionalFormatting>
  <conditionalFormatting sqref="R163">
    <cfRule type="duplicateValues" dxfId="0" priority="190"/>
  </conditionalFormatting>
  <conditionalFormatting sqref="Z163">
    <cfRule type="duplicateValues" dxfId="0" priority="48"/>
  </conditionalFormatting>
  <conditionalFormatting sqref="J165">
    <cfRule type="duplicateValues" dxfId="0" priority="301"/>
  </conditionalFormatting>
  <conditionalFormatting sqref="J170">
    <cfRule type="duplicateValues" dxfId="0" priority="188"/>
  </conditionalFormatting>
  <conditionalFormatting sqref="R170">
    <cfRule type="duplicateValues" dxfId="0" priority="187"/>
  </conditionalFormatting>
  <conditionalFormatting sqref="Z170">
    <cfRule type="duplicateValues" dxfId="0" priority="47"/>
  </conditionalFormatting>
  <conditionalFormatting sqref="J172">
    <cfRule type="duplicateValues" dxfId="0" priority="300"/>
  </conditionalFormatting>
  <conditionalFormatting sqref="J177">
    <cfRule type="duplicateValues" dxfId="0" priority="357"/>
  </conditionalFormatting>
  <conditionalFormatting sqref="J179">
    <cfRule type="duplicateValues" dxfId="0" priority="299"/>
  </conditionalFormatting>
  <conditionalFormatting sqref="J184">
    <cfRule type="duplicateValues" dxfId="0" priority="356"/>
  </conditionalFormatting>
  <conditionalFormatting sqref="J186">
    <cfRule type="duplicateValues" dxfId="0" priority="298"/>
  </conditionalFormatting>
  <conditionalFormatting sqref="J191">
    <cfRule type="duplicateValues" dxfId="0" priority="355"/>
  </conditionalFormatting>
  <conditionalFormatting sqref="J193">
    <cfRule type="duplicateValues" dxfId="0" priority="297"/>
  </conditionalFormatting>
  <conditionalFormatting sqref="J198">
    <cfRule type="duplicateValues" dxfId="0" priority="354"/>
  </conditionalFormatting>
  <conditionalFormatting sqref="J200">
    <cfRule type="duplicateValues" dxfId="0" priority="296"/>
  </conditionalFormatting>
  <conditionalFormatting sqref="J205">
    <cfRule type="duplicateValues" dxfId="0" priority="353"/>
  </conditionalFormatting>
  <conditionalFormatting sqref="J207">
    <cfRule type="duplicateValues" dxfId="0" priority="295"/>
  </conditionalFormatting>
  <conditionalFormatting sqref="J212">
    <cfRule type="duplicateValues" dxfId="0" priority="352"/>
  </conditionalFormatting>
  <conditionalFormatting sqref="J214">
    <cfRule type="duplicateValues" dxfId="0" priority="294"/>
  </conditionalFormatting>
  <conditionalFormatting sqref="J219">
    <cfRule type="duplicateValues" dxfId="0" priority="351"/>
  </conditionalFormatting>
  <conditionalFormatting sqref="J221">
    <cfRule type="duplicateValues" dxfId="0" priority="293"/>
  </conditionalFormatting>
  <conditionalFormatting sqref="J226">
    <cfRule type="duplicateValues" dxfId="0" priority="350"/>
  </conditionalFormatting>
  <conditionalFormatting sqref="J228">
    <cfRule type="duplicateValues" dxfId="0" priority="292"/>
  </conditionalFormatting>
  <conditionalFormatting sqref="J233">
    <cfRule type="duplicateValues" dxfId="0" priority="349"/>
  </conditionalFormatting>
  <conditionalFormatting sqref="J235">
    <cfRule type="duplicateValues" dxfId="0" priority="291"/>
  </conditionalFormatting>
  <conditionalFormatting sqref="J240">
    <cfRule type="duplicateValues" dxfId="0" priority="348"/>
  </conditionalFormatting>
  <conditionalFormatting sqref="J242">
    <cfRule type="duplicateValues" dxfId="0" priority="290"/>
  </conditionalFormatting>
  <conditionalFormatting sqref="J247">
    <cfRule type="duplicateValues" dxfId="0" priority="347"/>
  </conditionalFormatting>
  <conditionalFormatting sqref="J249">
    <cfRule type="duplicateValues" dxfId="0" priority="289"/>
  </conditionalFormatting>
  <conditionalFormatting sqref="J254">
    <cfRule type="duplicateValues" dxfId="0" priority="346"/>
  </conditionalFormatting>
  <conditionalFormatting sqref="J256">
    <cfRule type="duplicateValues" dxfId="0" priority="288"/>
  </conditionalFormatting>
  <conditionalFormatting sqref="J261">
    <cfRule type="duplicateValues" dxfId="0" priority="345"/>
  </conditionalFormatting>
  <conditionalFormatting sqref="J263">
    <cfRule type="duplicateValues" dxfId="0" priority="287"/>
  </conditionalFormatting>
  <conditionalFormatting sqref="J268">
    <cfRule type="duplicateValues" dxfId="0" priority="344"/>
  </conditionalFormatting>
  <conditionalFormatting sqref="J270">
    <cfRule type="duplicateValues" dxfId="0" priority="286"/>
  </conditionalFormatting>
  <conditionalFormatting sqref="J275">
    <cfRule type="duplicateValues" dxfId="0" priority="343"/>
  </conditionalFormatting>
  <conditionalFormatting sqref="J277">
    <cfRule type="duplicateValues" dxfId="0" priority="285"/>
  </conditionalFormatting>
  <conditionalFormatting sqref="J282">
    <cfRule type="duplicateValues" dxfId="0" priority="342"/>
  </conditionalFormatting>
  <conditionalFormatting sqref="J284">
    <cfRule type="duplicateValues" dxfId="0" priority="284"/>
  </conditionalFormatting>
  <conditionalFormatting sqref="J289">
    <cfRule type="duplicateValues" dxfId="0" priority="341"/>
  </conditionalFormatting>
  <conditionalFormatting sqref="J291">
    <cfRule type="duplicateValues" dxfId="0" priority="283"/>
  </conditionalFormatting>
  <conditionalFormatting sqref="J296">
    <cfRule type="duplicateValues" dxfId="0" priority="340"/>
  </conditionalFormatting>
  <conditionalFormatting sqref="J298">
    <cfRule type="duplicateValues" dxfId="0" priority="282"/>
  </conditionalFormatting>
  <conditionalFormatting sqref="J303">
    <cfRule type="duplicateValues" dxfId="0" priority="339"/>
  </conditionalFormatting>
  <conditionalFormatting sqref="J305">
    <cfRule type="duplicateValues" dxfId="0" priority="281"/>
  </conditionalFormatting>
  <conditionalFormatting sqref="J310">
    <cfRule type="duplicateValues" dxfId="0" priority="338"/>
  </conditionalFormatting>
  <conditionalFormatting sqref="J312">
    <cfRule type="duplicateValues" dxfId="0" priority="280"/>
  </conditionalFormatting>
  <conditionalFormatting sqref="J317">
    <cfRule type="duplicateValues" dxfId="0" priority="337"/>
  </conditionalFormatting>
  <conditionalFormatting sqref="J319">
    <cfRule type="duplicateValues" dxfId="0" priority="279"/>
  </conditionalFormatting>
  <conditionalFormatting sqref="J324">
    <cfRule type="duplicateValues" dxfId="0" priority="336"/>
  </conditionalFormatting>
  <conditionalFormatting sqref="J326">
    <cfRule type="duplicateValues" dxfId="0" priority="278"/>
  </conditionalFormatting>
  <conditionalFormatting sqref="J331">
    <cfRule type="duplicateValues" dxfId="0" priority="335"/>
  </conditionalFormatting>
  <conditionalFormatting sqref="J333">
    <cfRule type="duplicateValues" dxfId="0" priority="277"/>
  </conditionalFormatting>
  <conditionalFormatting sqref="J338">
    <cfRule type="duplicateValues" dxfId="0" priority="334"/>
  </conditionalFormatting>
  <conditionalFormatting sqref="J340">
    <cfRule type="duplicateValues" dxfId="0" priority="276"/>
  </conditionalFormatting>
  <conditionalFormatting sqref="J345">
    <cfRule type="duplicateValues" dxfId="0" priority="333"/>
  </conditionalFormatting>
  <conditionalFormatting sqref="J347">
    <cfRule type="duplicateValues" dxfId="0" priority="275"/>
  </conditionalFormatting>
  <conditionalFormatting sqref="J352">
    <cfRule type="duplicateValues" dxfId="0" priority="332"/>
  </conditionalFormatting>
  <conditionalFormatting sqref="J354">
    <cfRule type="duplicateValues" dxfId="0" priority="274"/>
  </conditionalFormatting>
  <conditionalFormatting sqref="J359">
    <cfRule type="duplicateValues" dxfId="0" priority="331"/>
  </conditionalFormatting>
  <conditionalFormatting sqref="J361">
    <cfRule type="duplicateValues" dxfId="0" priority="273"/>
  </conditionalFormatting>
  <conditionalFormatting sqref="J366">
    <cfRule type="duplicateValues" dxfId="0" priority="330"/>
  </conditionalFormatting>
  <conditionalFormatting sqref="J368">
    <cfRule type="duplicateValues" dxfId="0" priority="272"/>
  </conditionalFormatting>
  <conditionalFormatting sqref="J373">
    <cfRule type="duplicateValues" dxfId="0" priority="329"/>
  </conditionalFormatting>
  <conditionalFormatting sqref="J375">
    <cfRule type="duplicateValues" dxfId="0" priority="271"/>
  </conditionalFormatting>
  <conditionalFormatting sqref="J380">
    <cfRule type="duplicateValues" dxfId="0" priority="328"/>
  </conditionalFormatting>
  <conditionalFormatting sqref="J382">
    <cfRule type="duplicateValues" dxfId="0" priority="270"/>
  </conditionalFormatting>
  <conditionalFormatting sqref="J387">
    <cfRule type="duplicateValues" dxfId="0" priority="327"/>
  </conditionalFormatting>
  <conditionalFormatting sqref="J389">
    <cfRule type="duplicateValues" dxfId="0" priority="269"/>
  </conditionalFormatting>
  <conditionalFormatting sqref="J394">
    <cfRule type="duplicateValues" dxfId="0" priority="326"/>
  </conditionalFormatting>
  <conditionalFormatting sqref="J396">
    <cfRule type="duplicateValues" dxfId="0" priority="268"/>
  </conditionalFormatting>
  <conditionalFormatting sqref="J401">
    <cfRule type="duplicateValues" dxfId="0" priority="325"/>
  </conditionalFormatting>
  <conditionalFormatting sqref="J403">
    <cfRule type="duplicateValues" dxfId="0" priority="267"/>
  </conditionalFormatting>
  <conditionalFormatting sqref="J408">
    <cfRule type="duplicateValues" dxfId="0" priority="324"/>
  </conditionalFormatting>
  <conditionalFormatting sqref="J410">
    <cfRule type="duplicateValues" dxfId="0" priority="266"/>
  </conditionalFormatting>
  <conditionalFormatting sqref="J415">
    <cfRule type="duplicateValues" dxfId="0" priority="323"/>
  </conditionalFormatting>
  <conditionalFormatting sqref="J417">
    <cfRule type="duplicateValues" dxfId="0" priority="265"/>
  </conditionalFormatting>
  <conditionalFormatting sqref="L421">
    <cfRule type="duplicateValues" dxfId="0" priority="200"/>
  </conditionalFormatting>
  <conditionalFormatting sqref="B9:B29">
    <cfRule type="duplicateValues" dxfId="0" priority="115"/>
  </conditionalFormatting>
  <conditionalFormatting sqref="B38:B99">
    <cfRule type="duplicateValues" dxfId="0" priority="45"/>
  </conditionalFormatting>
  <conditionalFormatting sqref="B345:B351">
    <cfRule type="duplicateValues" dxfId="0" priority="122"/>
  </conditionalFormatting>
  <conditionalFormatting sqref="B352:B358">
    <cfRule type="duplicateValues" dxfId="0" priority="121"/>
  </conditionalFormatting>
  <conditionalFormatting sqref="B359:B365">
    <cfRule type="duplicateValues" dxfId="0" priority="120"/>
  </conditionalFormatting>
  <conditionalFormatting sqref="B366:B372">
    <cfRule type="duplicateValues" dxfId="0" priority="119"/>
  </conditionalFormatting>
  <conditionalFormatting sqref="B373:B379">
    <cfRule type="duplicateValues" dxfId="0" priority="118"/>
  </conditionalFormatting>
  <conditionalFormatting sqref="B380:B386">
    <cfRule type="duplicateValues" dxfId="0" priority="117"/>
  </conditionalFormatting>
  <conditionalFormatting sqref="J3:J8">
    <cfRule type="duplicateValues" dxfId="0" priority="1117"/>
  </conditionalFormatting>
  <conditionalFormatting sqref="J149:J150">
    <cfRule type="duplicateValues" dxfId="0" priority="149"/>
  </conditionalFormatting>
  <conditionalFormatting sqref="J152:J154">
    <cfRule type="duplicateValues" dxfId="0" priority="144"/>
  </conditionalFormatting>
  <conditionalFormatting sqref="R16:R22">
    <cfRule type="duplicateValues" dxfId="0" priority="264"/>
  </conditionalFormatting>
  <conditionalFormatting sqref="R23:R29">
    <cfRule type="duplicateValues" dxfId="0" priority="263"/>
  </conditionalFormatting>
  <conditionalFormatting sqref="R30:R36">
    <cfRule type="duplicateValues" dxfId="0" priority="262"/>
  </conditionalFormatting>
  <conditionalFormatting sqref="R37:R43">
    <cfRule type="duplicateValues" dxfId="0" priority="261"/>
  </conditionalFormatting>
  <conditionalFormatting sqref="R44:R50">
    <cfRule type="duplicateValues" dxfId="0" priority="260"/>
  </conditionalFormatting>
  <conditionalFormatting sqref="R51:R57">
    <cfRule type="duplicateValues" dxfId="0" priority="259"/>
  </conditionalFormatting>
  <conditionalFormatting sqref="R58:R64">
    <cfRule type="duplicateValues" dxfId="0" priority="258"/>
  </conditionalFormatting>
  <conditionalFormatting sqref="R65:R71">
    <cfRule type="duplicateValues" dxfId="0" priority="257"/>
  </conditionalFormatting>
  <conditionalFormatting sqref="R72:R78">
    <cfRule type="duplicateValues" dxfId="0" priority="256"/>
  </conditionalFormatting>
  <conditionalFormatting sqref="R79:R85">
    <cfRule type="duplicateValues" dxfId="0" priority="255"/>
  </conditionalFormatting>
  <conditionalFormatting sqref="R86:R92">
    <cfRule type="duplicateValues" dxfId="0" priority="254"/>
  </conditionalFormatting>
  <conditionalFormatting sqref="R93:R99">
    <cfRule type="duplicateValues" dxfId="0" priority="253"/>
  </conditionalFormatting>
  <conditionalFormatting sqref="R101:R106">
    <cfRule type="duplicateValues" dxfId="0" priority="252"/>
  </conditionalFormatting>
  <conditionalFormatting sqref="R107:R113">
    <cfRule type="duplicateValues" dxfId="0" priority="251"/>
  </conditionalFormatting>
  <conditionalFormatting sqref="R114:R120">
    <cfRule type="duplicateValues" dxfId="0" priority="250"/>
  </conditionalFormatting>
  <conditionalFormatting sqref="R121:R127">
    <cfRule type="duplicateValues" dxfId="0" priority="249"/>
  </conditionalFormatting>
  <conditionalFormatting sqref="R128:R134">
    <cfRule type="duplicateValues" dxfId="0" priority="248"/>
  </conditionalFormatting>
  <conditionalFormatting sqref="R135:R141">
    <cfRule type="duplicateValues" dxfId="0" priority="247"/>
  </conditionalFormatting>
  <conditionalFormatting sqref="R142:R148">
    <cfRule type="duplicateValues" dxfId="0" priority="246"/>
  </conditionalFormatting>
  <conditionalFormatting sqref="R149:R155">
    <cfRule type="duplicateValues" dxfId="0" priority="245"/>
  </conditionalFormatting>
  <conditionalFormatting sqref="R156:R162">
    <cfRule type="duplicateValues" dxfId="0" priority="244"/>
  </conditionalFormatting>
  <conditionalFormatting sqref="R164:R169">
    <cfRule type="duplicateValues" dxfId="0" priority="243"/>
  </conditionalFormatting>
  <conditionalFormatting sqref="R171:R176">
    <cfRule type="duplicateValues" dxfId="0" priority="242"/>
  </conditionalFormatting>
  <conditionalFormatting sqref="R177:R183">
    <cfRule type="duplicateValues" dxfId="0" priority="241"/>
  </conditionalFormatting>
  <conditionalFormatting sqref="R184:R190">
    <cfRule type="duplicateValues" dxfId="0" priority="240"/>
  </conditionalFormatting>
  <conditionalFormatting sqref="R191:R197">
    <cfRule type="duplicateValues" dxfId="0" priority="239"/>
  </conditionalFormatting>
  <conditionalFormatting sqref="R198:R204">
    <cfRule type="duplicateValues" dxfId="0" priority="238"/>
  </conditionalFormatting>
  <conditionalFormatting sqref="R205:R211">
    <cfRule type="duplicateValues" dxfId="0" priority="237"/>
  </conditionalFormatting>
  <conditionalFormatting sqref="R212:R218">
    <cfRule type="duplicateValues" dxfId="0" priority="236"/>
  </conditionalFormatting>
  <conditionalFormatting sqref="R219:R225">
    <cfRule type="duplicateValues" dxfId="0" priority="235"/>
  </conditionalFormatting>
  <conditionalFormatting sqref="R226:R232">
    <cfRule type="duplicateValues" dxfId="0" priority="234"/>
  </conditionalFormatting>
  <conditionalFormatting sqref="R233:R239">
    <cfRule type="duplicateValues" dxfId="0" priority="233"/>
  </conditionalFormatting>
  <conditionalFormatting sqref="R240:R246">
    <cfRule type="duplicateValues" dxfId="0" priority="232"/>
  </conditionalFormatting>
  <conditionalFormatting sqref="R247:R253">
    <cfRule type="duplicateValues" dxfId="0" priority="231"/>
  </conditionalFormatting>
  <conditionalFormatting sqref="R254:R260">
    <cfRule type="duplicateValues" dxfId="0" priority="230"/>
  </conditionalFormatting>
  <conditionalFormatting sqref="R261:R267">
    <cfRule type="duplicateValues" dxfId="0" priority="229"/>
  </conditionalFormatting>
  <conditionalFormatting sqref="R268:R274">
    <cfRule type="duplicateValues" dxfId="0" priority="228"/>
  </conditionalFormatting>
  <conditionalFormatting sqref="R275:R281">
    <cfRule type="duplicateValues" dxfId="0" priority="227"/>
  </conditionalFormatting>
  <conditionalFormatting sqref="R282:R288">
    <cfRule type="duplicateValues" dxfId="0" priority="226"/>
  </conditionalFormatting>
  <conditionalFormatting sqref="R289:R295">
    <cfRule type="duplicateValues" dxfId="0" priority="225"/>
  </conditionalFormatting>
  <conditionalFormatting sqref="R296:R302">
    <cfRule type="duplicateValues" dxfId="0" priority="224"/>
  </conditionalFormatting>
  <conditionalFormatting sqref="R303:R309">
    <cfRule type="duplicateValues" dxfId="0" priority="223"/>
  </conditionalFormatting>
  <conditionalFormatting sqref="R310:R316">
    <cfRule type="duplicateValues" dxfId="0" priority="222"/>
  </conditionalFormatting>
  <conditionalFormatting sqref="R317:R323">
    <cfRule type="duplicateValues" dxfId="0" priority="221"/>
  </conditionalFormatting>
  <conditionalFormatting sqref="R324:R330">
    <cfRule type="duplicateValues" dxfId="0" priority="220"/>
  </conditionalFormatting>
  <conditionalFormatting sqref="R331:R337">
    <cfRule type="duplicateValues" dxfId="0" priority="219"/>
  </conditionalFormatting>
  <conditionalFormatting sqref="R338:R344">
    <cfRule type="duplicateValues" dxfId="0" priority="218"/>
  </conditionalFormatting>
  <conditionalFormatting sqref="R345:R351">
    <cfRule type="duplicateValues" dxfId="0" priority="217"/>
  </conditionalFormatting>
  <conditionalFormatting sqref="R352:R358">
    <cfRule type="duplicateValues" dxfId="0" priority="216"/>
  </conditionalFormatting>
  <conditionalFormatting sqref="R359:R365">
    <cfRule type="duplicateValues" dxfId="0" priority="215"/>
  </conditionalFormatting>
  <conditionalFormatting sqref="R366:R372">
    <cfRule type="duplicateValues" dxfId="0" priority="214"/>
  </conditionalFormatting>
  <conditionalFormatting sqref="R373:R379">
    <cfRule type="duplicateValues" dxfId="0" priority="213"/>
  </conditionalFormatting>
  <conditionalFormatting sqref="R380:R386">
    <cfRule type="duplicateValues" dxfId="0" priority="212"/>
  </conditionalFormatting>
  <conditionalFormatting sqref="R387:R393">
    <cfRule type="duplicateValues" dxfId="0" priority="211"/>
  </conditionalFormatting>
  <conditionalFormatting sqref="R394:R400">
    <cfRule type="duplicateValues" dxfId="0" priority="210"/>
  </conditionalFormatting>
  <conditionalFormatting sqref="R401:R407">
    <cfRule type="duplicateValues" dxfId="0" priority="209"/>
  </conditionalFormatting>
  <conditionalFormatting sqref="R408:R414">
    <cfRule type="duplicateValues" dxfId="0" priority="208"/>
  </conditionalFormatting>
  <conditionalFormatting sqref="R415:R421">
    <cfRule type="duplicateValues" dxfId="0" priority="207"/>
  </conditionalFormatting>
  <conditionalFormatting sqref="R422:R428">
    <cfRule type="duplicateValues" dxfId="0" priority="206"/>
  </conditionalFormatting>
  <conditionalFormatting sqref="R429:R435">
    <cfRule type="duplicateValues" dxfId="0" priority="205"/>
  </conditionalFormatting>
  <conditionalFormatting sqref="R436:R442">
    <cfRule type="duplicateValues" dxfId="0" priority="204"/>
  </conditionalFormatting>
  <conditionalFormatting sqref="R443:R449">
    <cfRule type="duplicateValues" dxfId="0" priority="203"/>
  </conditionalFormatting>
  <conditionalFormatting sqref="R450:R456">
    <cfRule type="duplicateValues" dxfId="0" priority="202"/>
  </conditionalFormatting>
  <conditionalFormatting sqref="R457:R463">
    <cfRule type="duplicateValues" dxfId="0" priority="201"/>
  </conditionalFormatting>
  <conditionalFormatting sqref="Z16:Z22">
    <cfRule type="duplicateValues" dxfId="0" priority="113"/>
  </conditionalFormatting>
  <conditionalFormatting sqref="Z23:Z29">
    <cfRule type="duplicateValues" dxfId="0" priority="112"/>
  </conditionalFormatting>
  <conditionalFormatting sqref="Z30:Z36">
    <cfRule type="duplicateValues" dxfId="0" priority="111"/>
  </conditionalFormatting>
  <conditionalFormatting sqref="Z37:Z43">
    <cfRule type="duplicateValues" dxfId="0" priority="110"/>
  </conditionalFormatting>
  <conditionalFormatting sqref="Z44:Z50">
    <cfRule type="duplicateValues" dxfId="0" priority="109"/>
  </conditionalFormatting>
  <conditionalFormatting sqref="Z51:Z57">
    <cfRule type="duplicateValues" dxfId="0" priority="108"/>
  </conditionalFormatting>
  <conditionalFormatting sqref="Z58:Z64">
    <cfRule type="duplicateValues" dxfId="0" priority="107"/>
  </conditionalFormatting>
  <conditionalFormatting sqref="Z65:Z71">
    <cfRule type="duplicateValues" dxfId="0" priority="106"/>
  </conditionalFormatting>
  <conditionalFormatting sqref="Z72:Z78">
    <cfRule type="duplicateValues" dxfId="0" priority="105"/>
  </conditionalFormatting>
  <conditionalFormatting sqref="Z79:Z85">
    <cfRule type="duplicateValues" dxfId="0" priority="104"/>
  </conditionalFormatting>
  <conditionalFormatting sqref="Z86:Z92">
    <cfRule type="duplicateValues" dxfId="0" priority="103"/>
  </conditionalFormatting>
  <conditionalFormatting sqref="Z93:Z99">
    <cfRule type="duplicateValues" dxfId="0" priority="102"/>
  </conditionalFormatting>
  <conditionalFormatting sqref="Z101:Z106">
    <cfRule type="duplicateValues" dxfId="0" priority="101"/>
  </conditionalFormatting>
  <conditionalFormatting sqref="Z107:Z113">
    <cfRule type="duplicateValues" dxfId="0" priority="100"/>
  </conditionalFormatting>
  <conditionalFormatting sqref="Z114:Z120">
    <cfRule type="duplicateValues" dxfId="0" priority="99"/>
  </conditionalFormatting>
  <conditionalFormatting sqref="Z121:Z127">
    <cfRule type="duplicateValues" dxfId="0" priority="98"/>
  </conditionalFormatting>
  <conditionalFormatting sqref="Z128:Z134">
    <cfRule type="duplicateValues" dxfId="0" priority="97"/>
  </conditionalFormatting>
  <conditionalFormatting sqref="Z135:Z141">
    <cfRule type="duplicateValues" dxfId="0" priority="96"/>
  </conditionalFormatting>
  <conditionalFormatting sqref="Z142:Z148">
    <cfRule type="duplicateValues" dxfId="0" priority="95"/>
  </conditionalFormatting>
  <conditionalFormatting sqref="Z149:Z155">
    <cfRule type="duplicateValues" dxfId="0" priority="94"/>
  </conditionalFormatting>
  <conditionalFormatting sqref="Z156:Z162">
    <cfRule type="duplicateValues" dxfId="0" priority="93"/>
  </conditionalFormatting>
  <conditionalFormatting sqref="Z164:Z169">
    <cfRule type="duplicateValues" dxfId="0" priority="92"/>
  </conditionalFormatting>
  <conditionalFormatting sqref="Z171:Z176">
    <cfRule type="duplicateValues" dxfId="0" priority="91"/>
  </conditionalFormatting>
  <conditionalFormatting sqref="Z177:Z183">
    <cfRule type="duplicateValues" dxfId="0" priority="90"/>
  </conditionalFormatting>
  <conditionalFormatting sqref="Z184:Z190">
    <cfRule type="duplicateValues" dxfId="0" priority="89"/>
  </conditionalFormatting>
  <conditionalFormatting sqref="Z191:Z197">
    <cfRule type="duplicateValues" dxfId="0" priority="88"/>
  </conditionalFormatting>
  <conditionalFormatting sqref="Z198:Z204">
    <cfRule type="duplicateValues" dxfId="0" priority="87"/>
  </conditionalFormatting>
  <conditionalFormatting sqref="Z205:Z211">
    <cfRule type="duplicateValues" dxfId="0" priority="86"/>
  </conditionalFormatting>
  <conditionalFormatting sqref="Z212:Z218">
    <cfRule type="duplicateValues" dxfId="0" priority="85"/>
  </conditionalFormatting>
  <conditionalFormatting sqref="Z219:Z225">
    <cfRule type="duplicateValues" dxfId="0" priority="84"/>
  </conditionalFormatting>
  <conditionalFormatting sqref="Z226:Z232">
    <cfRule type="duplicateValues" dxfId="0" priority="83"/>
  </conditionalFormatting>
  <conditionalFormatting sqref="Z233:Z239">
    <cfRule type="duplicateValues" dxfId="0" priority="82"/>
  </conditionalFormatting>
  <conditionalFormatting sqref="Z240:Z246">
    <cfRule type="duplicateValues" dxfId="0" priority="81"/>
  </conditionalFormatting>
  <conditionalFormatting sqref="Z247:Z253">
    <cfRule type="duplicateValues" dxfId="0" priority="80"/>
  </conditionalFormatting>
  <conditionalFormatting sqref="Z254:Z260">
    <cfRule type="duplicateValues" dxfId="0" priority="79"/>
  </conditionalFormatting>
  <conditionalFormatting sqref="Z261:Z267">
    <cfRule type="duplicateValues" dxfId="0" priority="78"/>
  </conditionalFormatting>
  <conditionalFormatting sqref="Z268:Z274">
    <cfRule type="duplicateValues" dxfId="0" priority="77"/>
  </conditionalFormatting>
  <conditionalFormatting sqref="Z275:Z281">
    <cfRule type="duplicateValues" dxfId="0" priority="76"/>
  </conditionalFormatting>
  <conditionalFormatting sqref="Z282:Z288">
    <cfRule type="duplicateValues" dxfId="0" priority="75"/>
  </conditionalFormatting>
  <conditionalFormatting sqref="Z289:Z295">
    <cfRule type="duplicateValues" dxfId="0" priority="74"/>
  </conditionalFormatting>
  <conditionalFormatting sqref="Z296:Z302">
    <cfRule type="duplicateValues" dxfId="0" priority="73"/>
  </conditionalFormatting>
  <conditionalFormatting sqref="Z303:Z309">
    <cfRule type="duplicateValues" dxfId="0" priority="72"/>
  </conditionalFormatting>
  <conditionalFormatting sqref="Z310:Z316">
    <cfRule type="duplicateValues" dxfId="0" priority="71"/>
  </conditionalFormatting>
  <conditionalFormatting sqref="Z317:Z323">
    <cfRule type="duplicateValues" dxfId="0" priority="70"/>
  </conditionalFormatting>
  <conditionalFormatting sqref="Z324:Z330">
    <cfRule type="duplicateValues" dxfId="0" priority="69"/>
  </conditionalFormatting>
  <conditionalFormatting sqref="Z331:Z337">
    <cfRule type="duplicateValues" dxfId="0" priority="68"/>
  </conditionalFormatting>
  <conditionalFormatting sqref="Z338:Z344">
    <cfRule type="duplicateValues" dxfId="0" priority="67"/>
  </conditionalFormatting>
  <conditionalFormatting sqref="Z345:Z351">
    <cfRule type="duplicateValues" dxfId="0" priority="66"/>
  </conditionalFormatting>
  <conditionalFormatting sqref="Z352:Z358">
    <cfRule type="duplicateValues" dxfId="0" priority="65"/>
  </conditionalFormatting>
  <conditionalFormatting sqref="Z359:Z365">
    <cfRule type="duplicateValues" dxfId="0" priority="64"/>
  </conditionalFormatting>
  <conditionalFormatting sqref="Z366:Z372">
    <cfRule type="duplicateValues" dxfId="0" priority="63"/>
  </conditionalFormatting>
  <conditionalFormatting sqref="Z373:Z379">
    <cfRule type="duplicateValues" dxfId="0" priority="62"/>
  </conditionalFormatting>
  <conditionalFormatting sqref="Z380:Z386">
    <cfRule type="duplicateValues" dxfId="0" priority="61"/>
  </conditionalFormatting>
  <conditionalFormatting sqref="Z387:Z393">
    <cfRule type="duplicateValues" dxfId="0" priority="60"/>
  </conditionalFormatting>
  <conditionalFormatting sqref="Z394:Z400">
    <cfRule type="duplicateValues" dxfId="0" priority="59"/>
  </conditionalFormatting>
  <conditionalFormatting sqref="Z401:Z407">
    <cfRule type="duplicateValues" dxfId="0" priority="58"/>
  </conditionalFormatting>
  <conditionalFormatting sqref="Z408:Z414">
    <cfRule type="duplicateValues" dxfId="0" priority="57"/>
  </conditionalFormatting>
  <conditionalFormatting sqref="Z415:Z421">
    <cfRule type="duplicateValues" dxfId="0" priority="56"/>
  </conditionalFormatting>
  <conditionalFormatting sqref="Z422:Z428">
    <cfRule type="duplicateValues" dxfId="0" priority="55"/>
  </conditionalFormatting>
  <conditionalFormatting sqref="Z429:Z435">
    <cfRule type="duplicateValues" dxfId="0" priority="54"/>
  </conditionalFormatting>
  <conditionalFormatting sqref="Z436:Z442">
    <cfRule type="duplicateValues" dxfId="0" priority="53"/>
  </conditionalFormatting>
  <conditionalFormatting sqref="Z443:Z449">
    <cfRule type="duplicateValues" dxfId="0" priority="52"/>
  </conditionalFormatting>
  <conditionalFormatting sqref="Z450:Z456">
    <cfRule type="duplicateValues" dxfId="0" priority="51"/>
  </conditionalFormatting>
  <conditionalFormatting sqref="Z457:Z463">
    <cfRule type="duplicateValues" dxfId="0" priority="50"/>
  </conditionalFormatting>
  <conditionalFormatting sqref="B1:B8;B387:B1048576">
    <cfRule type="duplicateValues" dxfId="0" priority="680"/>
  </conditionalFormatting>
  <conditionalFormatting sqref="R1:R15;R464:R1048576">
    <cfRule type="duplicateValues" dxfId="0" priority="671"/>
  </conditionalFormatting>
  <conditionalFormatting sqref="Z1:Z15;Z464:Z1048576">
    <cfRule type="duplicateValues" dxfId="0" priority="114"/>
  </conditionalFormatting>
  <conditionalFormatting sqref="J10;J12:J15">
    <cfRule type="duplicateValues" dxfId="0" priority="1116"/>
  </conditionalFormatting>
  <conditionalFormatting sqref="J17;J19:J22">
    <cfRule type="duplicateValues" dxfId="0" priority="438"/>
  </conditionalFormatting>
  <conditionalFormatting sqref="J24;J26:J29">
    <cfRule type="duplicateValues" dxfId="0" priority="437"/>
  </conditionalFormatting>
  <conditionalFormatting sqref="B100:B344;B30:B36">
    <cfRule type="duplicateValues" dxfId="0" priority="116"/>
  </conditionalFormatting>
  <conditionalFormatting sqref="J31;J33:J36">
    <cfRule type="duplicateValues" dxfId="0" priority="436"/>
  </conditionalFormatting>
  <conditionalFormatting sqref="J38;J40:J43">
    <cfRule type="duplicateValues" dxfId="0" priority="435"/>
  </conditionalFormatting>
  <conditionalFormatting sqref="J45;J47:J50">
    <cfRule type="duplicateValues" dxfId="0" priority="434"/>
  </conditionalFormatting>
  <conditionalFormatting sqref="J52;J54:J57">
    <cfRule type="duplicateValues" dxfId="0" priority="43"/>
  </conditionalFormatting>
  <conditionalFormatting sqref="J59;J61:J64">
    <cfRule type="duplicateValues" dxfId="0" priority="42"/>
  </conditionalFormatting>
  <conditionalFormatting sqref="J66;J68:J71">
    <cfRule type="duplicateValues" dxfId="0" priority="41"/>
  </conditionalFormatting>
  <conditionalFormatting sqref="J73;J75:J78">
    <cfRule type="duplicateValues" dxfId="0" priority="40"/>
  </conditionalFormatting>
  <conditionalFormatting sqref="J80;J82:J85">
    <cfRule type="duplicateValues" dxfId="0" priority="39"/>
  </conditionalFormatting>
  <conditionalFormatting sqref="J87;J89:J92">
    <cfRule type="duplicateValues" dxfId="0" priority="38"/>
  </conditionalFormatting>
  <conditionalFormatting sqref="J94;J96:J99">
    <cfRule type="duplicateValues" dxfId="0" priority="37"/>
  </conditionalFormatting>
  <conditionalFormatting sqref="J101;J103:J106">
    <cfRule type="duplicateValues" dxfId="0" priority="36"/>
  </conditionalFormatting>
  <conditionalFormatting sqref="J108;J110:J113">
    <cfRule type="duplicateValues" dxfId="0" priority="35"/>
  </conditionalFormatting>
  <conditionalFormatting sqref="J115;J117:J120">
    <cfRule type="duplicateValues" dxfId="0" priority="34"/>
  </conditionalFormatting>
  <conditionalFormatting sqref="J122;J124:J127">
    <cfRule type="duplicateValues" dxfId="0" priority="33"/>
  </conditionalFormatting>
  <conditionalFormatting sqref="J129;J131:J134">
    <cfRule type="duplicateValues" dxfId="0" priority="32"/>
  </conditionalFormatting>
  <conditionalFormatting sqref="J136;J138:J141">
    <cfRule type="duplicateValues" dxfId="0" priority="31"/>
  </conditionalFormatting>
  <conditionalFormatting sqref="J143;J145:J148">
    <cfRule type="duplicateValues" dxfId="0" priority="30"/>
  </conditionalFormatting>
  <conditionalFormatting sqref="J157;J159:J162">
    <cfRule type="duplicateValues" dxfId="0" priority="418"/>
  </conditionalFormatting>
  <conditionalFormatting sqref="J164;J166:J169">
    <cfRule type="duplicateValues" dxfId="0" priority="417"/>
  </conditionalFormatting>
  <conditionalFormatting sqref="J171;J173:J176">
    <cfRule type="duplicateValues" dxfId="0" priority="416"/>
  </conditionalFormatting>
  <conditionalFormatting sqref="J178;J180:J183">
    <cfRule type="duplicateValues" dxfId="0" priority="415"/>
  </conditionalFormatting>
  <conditionalFormatting sqref="J185;J187:J190">
    <cfRule type="duplicateValues" dxfId="0" priority="414"/>
  </conditionalFormatting>
  <conditionalFormatting sqref="J192;J194:J197">
    <cfRule type="duplicateValues" dxfId="0" priority="413"/>
  </conditionalFormatting>
  <conditionalFormatting sqref="J199;J201:J204">
    <cfRule type="duplicateValues" dxfId="0" priority="412"/>
  </conditionalFormatting>
  <conditionalFormatting sqref="J206;J208:J211">
    <cfRule type="duplicateValues" dxfId="0" priority="411"/>
  </conditionalFormatting>
  <conditionalFormatting sqref="J213;J215:J218">
    <cfRule type="duplicateValues" dxfId="0" priority="410"/>
  </conditionalFormatting>
  <conditionalFormatting sqref="J220;J222:J225">
    <cfRule type="duplicateValues" dxfId="0" priority="409"/>
  </conditionalFormatting>
  <conditionalFormatting sqref="J227;J229:J232">
    <cfRule type="duplicateValues" dxfId="0" priority="408"/>
  </conditionalFormatting>
  <conditionalFormatting sqref="J234;J236:J239">
    <cfRule type="duplicateValues" dxfId="0" priority="407"/>
  </conditionalFormatting>
  <conditionalFormatting sqref="J241;J243:J246">
    <cfRule type="duplicateValues" dxfId="0" priority="406"/>
  </conditionalFormatting>
  <conditionalFormatting sqref="J248;J250:J253">
    <cfRule type="duplicateValues" dxfId="0" priority="405"/>
  </conditionalFormatting>
  <conditionalFormatting sqref="J255;J257:J260">
    <cfRule type="duplicateValues" dxfId="0" priority="404"/>
  </conditionalFormatting>
  <conditionalFormatting sqref="J262;J264:J267">
    <cfRule type="duplicateValues" dxfId="0" priority="403"/>
  </conditionalFormatting>
  <conditionalFormatting sqref="J269;J271:J274">
    <cfRule type="duplicateValues" dxfId="0" priority="402"/>
  </conditionalFormatting>
  <conditionalFormatting sqref="J276;J278:J281">
    <cfRule type="duplicateValues" dxfId="0" priority="401"/>
  </conditionalFormatting>
  <conditionalFormatting sqref="J283;J285:J288">
    <cfRule type="duplicateValues" dxfId="0" priority="400"/>
  </conditionalFormatting>
  <conditionalFormatting sqref="J290;J292:J295">
    <cfRule type="duplicateValues" dxfId="0" priority="399"/>
  </conditionalFormatting>
  <conditionalFormatting sqref="J297;J299:J302">
    <cfRule type="duplicateValues" dxfId="0" priority="398"/>
  </conditionalFormatting>
  <conditionalFormatting sqref="J304;J306:J309">
    <cfRule type="duplicateValues" dxfId="0" priority="397"/>
  </conditionalFormatting>
  <conditionalFormatting sqref="J311;J313:J316">
    <cfRule type="duplicateValues" dxfId="0" priority="396"/>
  </conditionalFormatting>
  <conditionalFormatting sqref="J318;J320:J323">
    <cfRule type="duplicateValues" dxfId="0" priority="395"/>
  </conditionalFormatting>
  <conditionalFormatting sqref="J325;J327:J330">
    <cfRule type="duplicateValues" dxfId="0" priority="394"/>
  </conditionalFormatting>
  <conditionalFormatting sqref="J332;J334:J337">
    <cfRule type="duplicateValues" dxfId="0" priority="393"/>
  </conditionalFormatting>
  <conditionalFormatting sqref="J339;J341:J344">
    <cfRule type="duplicateValues" dxfId="0" priority="392"/>
  </conditionalFormatting>
  <conditionalFormatting sqref="J346;J348:J351">
    <cfRule type="duplicateValues" dxfId="0" priority="391"/>
  </conditionalFormatting>
  <conditionalFormatting sqref="J353;J355:J358">
    <cfRule type="duplicateValues" dxfId="0" priority="390"/>
  </conditionalFormatting>
  <conditionalFormatting sqref="J360;J362:J365">
    <cfRule type="duplicateValues" dxfId="0" priority="389"/>
  </conditionalFormatting>
  <conditionalFormatting sqref="J367;J369:J372">
    <cfRule type="duplicateValues" dxfId="0" priority="388"/>
  </conditionalFormatting>
  <conditionalFormatting sqref="J374;J376:J379">
    <cfRule type="duplicateValues" dxfId="0" priority="387"/>
  </conditionalFormatting>
  <conditionalFormatting sqref="J381;J383:J386">
    <cfRule type="duplicateValues" dxfId="0" priority="386"/>
  </conditionalFormatting>
  <conditionalFormatting sqref="J388;J390:J393">
    <cfRule type="duplicateValues" dxfId="0" priority="385"/>
  </conditionalFormatting>
  <conditionalFormatting sqref="J395;J397:J400">
    <cfRule type="duplicateValues" dxfId="0" priority="384"/>
  </conditionalFormatting>
  <conditionalFormatting sqref="J402;J404:J407">
    <cfRule type="duplicateValues" dxfId="0" priority="383"/>
  </conditionalFormatting>
  <conditionalFormatting sqref="J409;J411:J414">
    <cfRule type="duplicateValues" dxfId="0" priority="382"/>
  </conditionalFormatting>
  <conditionalFormatting sqref="J416;J418:J421">
    <cfRule type="duplicateValues" dxfId="0" priority="381"/>
  </conditionalFormatting>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2"/>
  <sheetViews>
    <sheetView topLeftCell="G70" workbookViewId="0">
      <selection activeCell="B33" sqref="B33"/>
    </sheetView>
  </sheetViews>
  <sheetFormatPr defaultColWidth="27.8" defaultRowHeight="13.8"/>
  <cols>
    <col min="1" max="6" width="10.4" style="26" hidden="1" customWidth="1"/>
    <col min="7" max="7" width="26.7" customWidth="1"/>
    <col min="8" max="8" width="20.7" customWidth="1"/>
    <col min="9" max="9" width="27.8" customWidth="1"/>
    <col min="10" max="10" width="2" customWidth="1"/>
    <col min="11" max="32" width="27.8" customWidth="1"/>
    <col min="33" max="16383" width="20" customWidth="1"/>
    <col min="16384" max="16384" width="20"/>
  </cols>
  <sheetData>
    <row r="1" s="25" customFormat="1" ht="15.3" customHeight="1" spans="1:18">
      <c r="A1" s="27"/>
      <c r="B1" s="27"/>
      <c r="C1" s="27"/>
      <c r="D1" s="27"/>
      <c r="E1" s="27"/>
      <c r="F1" s="27"/>
      <c r="H1" s="25" t="s">
        <v>223</v>
      </c>
      <c r="R1" s="28"/>
    </row>
    <row r="2" s="25" customFormat="1" spans="1:18">
      <c r="A2" s="29" t="s">
        <v>224</v>
      </c>
      <c r="B2" s="30"/>
      <c r="C2" s="30"/>
      <c r="D2" s="30"/>
      <c r="E2" s="30"/>
      <c r="F2" s="27"/>
      <c r="H2" s="31" t="s">
        <v>225</v>
      </c>
      <c r="I2" s="32"/>
      <c r="R2" s="28"/>
    </row>
    <row r="3" s="25" customFormat="1" spans="1:18">
      <c r="A3" s="27" t="str">
        <f t="shared" ref="A3:A23" si="0">IF(G3&lt;&gt;"",CONCATENATE("&lt;li&gt;",$A$2),"")</f>
        <v>&lt;li&gt;&lt;span class="fw-bold"&gt;</v>
      </c>
      <c r="B3" s="27" t="str">
        <f t="shared" ref="B3:B12" si="1">IF(G3&lt;&gt;"",LEFT(G3,FIND(":",G3,1)-1),"")</f>
        <v>Planificación y ejecución autónoma</v>
      </c>
      <c r="C3" s="27" t="str">
        <f t="shared" ref="C3:C12" si="2">IF(G3&lt;&gt;"","&lt;/span&gt;","")</f>
        <v>&lt;/span&gt;</v>
      </c>
      <c r="D3" s="27" t="str">
        <f t="shared" ref="D3:D12" si="3">IF(G3&lt;&gt;"",RIGHT(G3,LEN(G3)-FIND(":",G3,1)),"")</f>
        <v> al iniciar una tarea, Claude analiza la solicitud, crea un plan y divide el trabajo complejo en subtareas cuando es necesario. </v>
      </c>
      <c r="E3" s="27" t="str">
        <f t="shared" ref="E3:E12" si="4">IF(G3&lt;&gt;"","&lt;/li&gt;","")</f>
        <v>&lt;/li&gt;</v>
      </c>
      <c r="F3" s="27"/>
      <c r="G3" s="33" t="s">
        <v>226</v>
      </c>
      <c r="H3" s="34" t="str">
        <f t="shared" ref="H3:H12" si="5">IF(G3&lt;&gt;"",CONCATENATE(A3,B3,C3,":",D3,E3),IF(G2&lt;&gt;"","&lt;/ul&gt;",""))</f>
        <v>&lt;li&gt;&lt;span class="fw-bold"&gt;Planificación y ejecución autónoma&lt;/span&gt;: al iniciar una tarea, Claude analiza la solicitud, crea un plan y divide el trabajo complejo en subtareas cuando es necesario. &lt;/li&gt;</v>
      </c>
      <c r="I3" s="28"/>
      <c r="J3" s="25" t="s">
        <v>2</v>
      </c>
      <c r="K3" s="35"/>
      <c r="Q3" s="36"/>
      <c r="R3" s="28"/>
    </row>
    <row r="4" s="25" customFormat="1" spans="1:18">
      <c r="A4" s="27" t="str">
        <f t="shared" si="0"/>
        <v>&lt;li&gt;&lt;span class="fw-bold"&gt;</v>
      </c>
      <c r="B4" s="27" t="str">
        <f t="shared" si="1"/>
        <v>Ejecución en la nube</v>
      </c>
      <c r="C4" s="27" t="str">
        <f t="shared" si="2"/>
        <v>&lt;/span&gt;</v>
      </c>
      <c r="D4" s="27" t="str">
        <f t="shared" si="3"/>
        <v> las tareas corren en un entorno aislado en los servidores de Anthropic, y las sesiones y archivos quedan guardados en la cuenta del usuario, por lo que el trabajo continúa aunque cierres el computador. </v>
      </c>
      <c r="E4" s="27" t="str">
        <f t="shared" si="4"/>
        <v>&lt;/li&gt;</v>
      </c>
      <c r="F4" s="27"/>
      <c r="G4" s="33" t="s">
        <v>227</v>
      </c>
      <c r="H4" s="34" t="str">
        <f t="shared" si="5"/>
        <v>&lt;li&gt;&lt;span class="fw-bold"&gt;Ejecución en la nube&lt;/span&gt;: las tareas corren en un entorno aislado en los servidores de Anthropic, y las sesiones y archivos quedan guardados en la cuenta del usuario, por lo que el trabajo continúa aunque cierres el computador. &lt;/li&gt;</v>
      </c>
      <c r="I4" s="28"/>
      <c r="J4" s="25" t="s">
        <v>2</v>
      </c>
      <c r="K4"/>
      <c r="Q4" s="36"/>
      <c r="R4" s="28"/>
    </row>
    <row r="5" s="25" customFormat="1" spans="1:18">
      <c r="A5" s="27" t="str">
        <f t="shared" si="0"/>
        <v>&lt;li&gt;&lt;span class="fw-bold"&gt;</v>
      </c>
      <c r="B5" s="27" t="str">
        <f t="shared" si="1"/>
        <v>Acceso controlado a archivos y red</v>
      </c>
      <c r="C5" s="27" t="str">
        <f t="shared" si="2"/>
        <v>&lt;/span&gt;</v>
      </c>
      <c r="D5" s="27" t="str">
        <f t="shared" si="3"/>
        <v> Claude solo puede leer y escribir en las carpetas conectadas, y el acceso a red sigue la configuración de salida definida por el usuario. </v>
      </c>
      <c r="E5" s="27" t="str">
        <f t="shared" si="4"/>
        <v>&lt;/li&gt;</v>
      </c>
      <c r="F5" s="27"/>
      <c r="G5" s="33" t="s">
        <v>228</v>
      </c>
      <c r="H5" s="34" t="str">
        <f t="shared" si="5"/>
        <v>&lt;li&gt;&lt;span class="fw-bold"&gt;Acceso controlado a archivos y red&lt;/span&gt;: Claude solo puede leer y escribir en las carpetas conectadas, y el acceso a red sigue la configuración de salida definida por el usuario. &lt;/li&gt;</v>
      </c>
      <c r="I5" s="28"/>
      <c r="J5" s="25" t="s">
        <v>2</v>
      </c>
      <c r="K5" s="37"/>
      <c r="Q5" s="36"/>
      <c r="R5" s="28"/>
    </row>
    <row r="6" s="25" customFormat="1" spans="1:18">
      <c r="A6" s="27" t="str">
        <f t="shared" si="0"/>
        <v>&lt;li&gt;&lt;span class="fw-bold"&gt;</v>
      </c>
      <c r="B6" s="27" t="str">
        <f t="shared" si="1"/>
        <v>Coordinación de tareas paralelas</v>
      </c>
      <c r="C6" s="27" t="str">
        <f t="shared" si="2"/>
        <v>&lt;/span&gt;</v>
      </c>
      <c r="D6" s="27" t="str">
        <f t="shared" si="3"/>
        <v> Claude puede coordinar varios flujos de trabajo en paralelo cuando corresponde. </v>
      </c>
      <c r="E6" s="27" t="str">
        <f t="shared" si="4"/>
        <v>&lt;/li&gt;</v>
      </c>
      <c r="F6" s="27"/>
      <c r="G6" s="33" t="s">
        <v>229</v>
      </c>
      <c r="H6" s="34" t="str">
        <f t="shared" si="5"/>
        <v>&lt;li&gt;&lt;span class="fw-bold"&gt;Coordinación de tareas paralelas&lt;/span&gt;: Claude puede coordinar varios flujos de trabajo en paralelo cuando corresponde. &lt;/li&gt;</v>
      </c>
      <c r="I6" s="28"/>
      <c r="J6" s="25" t="s">
        <v>2</v>
      </c>
      <c r="Q6" s="36"/>
      <c r="R6" s="28"/>
    </row>
    <row r="7" s="25" customFormat="1" spans="1:18">
      <c r="A7" s="27" t="str">
        <f t="shared" si="0"/>
        <v>&lt;li&gt;&lt;span class="fw-bold"&gt;</v>
      </c>
      <c r="B7" s="27" t="str">
        <f t="shared" si="1"/>
        <v>Tareas programadas</v>
      </c>
      <c r="C7" s="27" t="str">
        <f t="shared" si="2"/>
        <v>&lt;/span&gt;</v>
      </c>
      <c r="D7" s="27" t="str">
        <f t="shared" si="3"/>
        <v> se pueden agendar tareas diarias, semanales o mensuales para que Claude las ejecute sin intervención manual. </v>
      </c>
      <c r="E7" s="27" t="str">
        <f t="shared" si="4"/>
        <v>&lt;/li&gt;</v>
      </c>
      <c r="F7" s="27"/>
      <c r="G7" s="33" t="s">
        <v>230</v>
      </c>
      <c r="H7" s="34" t="str">
        <f t="shared" si="5"/>
        <v>&lt;li&gt;&lt;span class="fw-bold"&gt;Tareas programadas&lt;/span&gt;: se pueden agendar tareas diarias, semanales o mensuales para que Claude las ejecute sin intervención manual. &lt;/li&gt;</v>
      </c>
      <c r="I7" s="28"/>
      <c r="J7" s="25" t="s">
        <v>2</v>
      </c>
      <c r="Q7" s="36"/>
      <c r="R7" s="28"/>
    </row>
    <row r="8" s="25" customFormat="1" spans="1:18">
      <c r="A8" s="27" t="str">
        <f t="shared" si="0"/>
        <v>&lt;li&gt;&lt;span class="fw-bold"&gt;</v>
      </c>
      <c r="B8" s="27" t="str">
        <f t="shared" si="1"/>
        <v>Memoria compartida con el chat</v>
      </c>
      <c r="C8" s="27" t="str">
        <f t="shared" si="2"/>
        <v>&lt;/span&gt;</v>
      </c>
      <c r="D8" s="27" t="str">
        <f t="shared" si="3"/>
        <v> lo que Claude recuerda de las conversaciones de chat está disponible en Cowork, y viceversa, reduciendo la necesidad de repetir contexto. </v>
      </c>
      <c r="E8" s="27" t="str">
        <f t="shared" si="4"/>
        <v>&lt;/li&gt;</v>
      </c>
      <c r="F8" s="27"/>
      <c r="G8" s="33" t="s">
        <v>231</v>
      </c>
      <c r="H8" s="34" t="str">
        <f t="shared" si="5"/>
        <v>&lt;li&gt;&lt;span class="fw-bold"&gt;Memoria compartida con el chat&lt;/span&gt;: lo que Claude recuerda de las conversaciones de chat está disponible en Cowork, y viceversa, reduciendo la necesidad de repetir contexto. &lt;/li&gt;</v>
      </c>
      <c r="I8" s="28"/>
      <c r="J8" s="25" t="s">
        <v>2</v>
      </c>
      <c r="Q8" s="36"/>
      <c r="R8" s="28"/>
    </row>
    <row r="9" s="25" customFormat="1" spans="1:18">
      <c r="A9" s="27" t="str">
        <f t="shared" si="0"/>
        <v/>
      </c>
      <c r="B9" s="27" t="str">
        <f t="shared" si="1"/>
        <v/>
      </c>
      <c r="C9" s="27" t="str">
        <f t="shared" si="2"/>
        <v/>
      </c>
      <c r="D9" s="27" t="str">
        <f t="shared" si="3"/>
        <v/>
      </c>
      <c r="E9" s="27" t="str">
        <f t="shared" si="4"/>
        <v/>
      </c>
      <c r="F9" s="27"/>
      <c r="G9" s="33"/>
      <c r="H9" s="34" t="str">
        <f t="shared" si="5"/>
        <v>&lt;/ul&gt;</v>
      </c>
      <c r="I9" s="28"/>
      <c r="J9" s="25" t="s">
        <v>2</v>
      </c>
      <c r="Q9" s="36"/>
      <c r="R9" s="28"/>
    </row>
    <row r="10" s="25" customFormat="1" spans="1:18">
      <c r="A10" s="27" t="str">
        <f t="shared" si="0"/>
        <v/>
      </c>
      <c r="B10" s="27" t="str">
        <f t="shared" si="1"/>
        <v/>
      </c>
      <c r="C10" s="27" t="str">
        <f t="shared" si="2"/>
        <v/>
      </c>
      <c r="D10" s="27" t="str">
        <f t="shared" si="3"/>
        <v/>
      </c>
      <c r="E10" s="27" t="str">
        <f t="shared" si="4"/>
        <v/>
      </c>
      <c r="F10" s="27"/>
      <c r="G10" s="33"/>
      <c r="H10" s="34" t="str">
        <f t="shared" si="5"/>
        <v/>
      </c>
      <c r="I10" s="28"/>
      <c r="J10" s="25" t="s">
        <v>2</v>
      </c>
      <c r="Q10" s="36"/>
      <c r="R10" s="28"/>
    </row>
    <row r="11" s="25" customFormat="1" spans="1:18">
      <c r="A11" s="27" t="str">
        <f t="shared" si="0"/>
        <v/>
      </c>
      <c r="B11" s="27" t="str">
        <f t="shared" si="1"/>
        <v/>
      </c>
      <c r="C11" s="27" t="str">
        <f t="shared" si="2"/>
        <v/>
      </c>
      <c r="D11" s="27" t="str">
        <f t="shared" si="3"/>
        <v/>
      </c>
      <c r="E11" s="27" t="str">
        <f t="shared" si="4"/>
        <v/>
      </c>
      <c r="F11" s="27"/>
      <c r="G11" s="33"/>
      <c r="H11" s="34" t="str">
        <f t="shared" si="5"/>
        <v/>
      </c>
      <c r="I11" s="28"/>
      <c r="J11" s="25" t="s">
        <v>2</v>
      </c>
      <c r="Q11" s="36"/>
      <c r="R11" s="28"/>
    </row>
    <row r="12" s="25" customFormat="1" spans="1:18">
      <c r="A12" s="27" t="str">
        <f t="shared" si="0"/>
        <v/>
      </c>
      <c r="B12" s="27" t="str">
        <f t="shared" si="1"/>
        <v/>
      </c>
      <c r="C12" s="27" t="str">
        <f t="shared" si="2"/>
        <v/>
      </c>
      <c r="D12" s="27" t="str">
        <f t="shared" si="3"/>
        <v/>
      </c>
      <c r="E12" s="27" t="str">
        <f t="shared" si="4"/>
        <v/>
      </c>
      <c r="F12" s="27"/>
      <c r="G12" s="33"/>
      <c r="H12" s="34" t="str">
        <f t="shared" si="5"/>
        <v/>
      </c>
      <c r="I12" s="28"/>
      <c r="J12" s="25" t="s">
        <v>2</v>
      </c>
      <c r="Q12" s="36"/>
      <c r="R12" s="28"/>
    </row>
    <row r="13" s="25" customFormat="1" spans="1:18">
      <c r="A13" s="27" t="str">
        <f t="shared" si="0"/>
        <v/>
      </c>
      <c r="B13" s="27" t="str">
        <f t="shared" ref="B12:B23" si="6">IF(G13&lt;&gt;"",LEFT(G13,FIND(":",G13,1)-1),"")</f>
        <v/>
      </c>
      <c r="C13" s="27" t="str">
        <f t="shared" ref="C12:C23" si="7">IF(G13&lt;&gt;"","&lt;/span&gt;","")</f>
        <v/>
      </c>
      <c r="D13" s="27" t="str">
        <f t="shared" ref="D12:D23" si="8">IF(G13&lt;&gt;"",RIGHT(G13,LEN(G13)-FIND(":",G13,1)),"")</f>
        <v/>
      </c>
      <c r="E13" s="27" t="str">
        <f t="shared" ref="E12:E23" si="9">IF(G13&lt;&gt;"","&lt;/li&gt;","")</f>
        <v/>
      </c>
      <c r="F13" s="27"/>
      <c r="G13" s="33"/>
      <c r="H13" s="34" t="str">
        <f t="shared" ref="H12:H24" si="10">IF(G13&lt;&gt;"",CONCATENATE(A13,B13,C13,":",D13,E13),IF(G12&lt;&gt;"","&lt;/ul&gt;",""))</f>
        <v/>
      </c>
      <c r="I13" s="28"/>
      <c r="J13" s="25" t="s">
        <v>2</v>
      </c>
      <c r="Q13" s="36"/>
      <c r="R13" s="28"/>
    </row>
    <row r="14" s="25" customFormat="1" spans="1:18">
      <c r="A14" s="27" t="str">
        <f t="shared" si="0"/>
        <v/>
      </c>
      <c r="B14" s="27" t="str">
        <f t="shared" si="6"/>
        <v/>
      </c>
      <c r="C14" s="27" t="str">
        <f t="shared" si="7"/>
        <v/>
      </c>
      <c r="D14" s="27" t="str">
        <f t="shared" si="8"/>
        <v/>
      </c>
      <c r="E14" s="27" t="str">
        <f t="shared" si="9"/>
        <v/>
      </c>
      <c r="F14" s="27"/>
      <c r="G14" s="33"/>
      <c r="H14" s="34" t="str">
        <f t="shared" si="10"/>
        <v/>
      </c>
      <c r="I14" s="28"/>
      <c r="J14" s="25" t="s">
        <v>2</v>
      </c>
      <c r="Q14" s="36"/>
      <c r="R14" s="28"/>
    </row>
    <row r="15" s="25" customFormat="1" spans="1:18">
      <c r="A15" s="27" t="str">
        <f t="shared" si="0"/>
        <v/>
      </c>
      <c r="B15" s="27" t="str">
        <f t="shared" si="6"/>
        <v/>
      </c>
      <c r="C15" s="27" t="str">
        <f t="shared" si="7"/>
        <v/>
      </c>
      <c r="D15" s="27" t="str">
        <f t="shared" si="8"/>
        <v/>
      </c>
      <c r="E15" s="27" t="str">
        <f t="shared" si="9"/>
        <v/>
      </c>
      <c r="F15" s="27"/>
      <c r="G15" s="33"/>
      <c r="H15" s="34" t="str">
        <f t="shared" si="10"/>
        <v/>
      </c>
      <c r="I15" s="28"/>
      <c r="J15" s="25" t="s">
        <v>2</v>
      </c>
      <c r="Q15" s="36"/>
      <c r="R15" s="28"/>
    </row>
    <row r="16" s="25" customFormat="1" spans="1:18">
      <c r="A16" s="27" t="str">
        <f t="shared" si="0"/>
        <v/>
      </c>
      <c r="B16" s="27" t="str">
        <f t="shared" si="6"/>
        <v/>
      </c>
      <c r="C16" s="27" t="str">
        <f t="shared" si="7"/>
        <v/>
      </c>
      <c r="D16" s="27" t="str">
        <f t="shared" si="8"/>
        <v/>
      </c>
      <c r="E16" s="27" t="str">
        <f t="shared" si="9"/>
        <v/>
      </c>
      <c r="F16" s="27"/>
      <c r="G16" s="33"/>
      <c r="H16" s="34" t="str">
        <f t="shared" si="10"/>
        <v/>
      </c>
      <c r="I16" s="28"/>
      <c r="J16" s="25" t="s">
        <v>2</v>
      </c>
      <c r="Q16" s="36"/>
      <c r="R16" s="28"/>
    </row>
    <row r="17" s="25" customFormat="1" spans="1:18">
      <c r="A17" s="27" t="str">
        <f t="shared" si="0"/>
        <v/>
      </c>
      <c r="B17" s="27" t="str">
        <f t="shared" si="6"/>
        <v/>
      </c>
      <c r="C17" s="27" t="str">
        <f t="shared" si="7"/>
        <v/>
      </c>
      <c r="D17" s="27" t="str">
        <f t="shared" si="8"/>
        <v/>
      </c>
      <c r="E17" s="27" t="str">
        <f t="shared" si="9"/>
        <v/>
      </c>
      <c r="F17" s="27"/>
      <c r="G17" s="33"/>
      <c r="H17" s="34" t="str">
        <f t="shared" si="10"/>
        <v/>
      </c>
      <c r="I17" s="28"/>
      <c r="J17" s="25" t="s">
        <v>2</v>
      </c>
      <c r="Q17" s="36"/>
      <c r="R17" s="28"/>
    </row>
    <row r="18" s="25" customFormat="1" spans="1:18">
      <c r="A18" s="27" t="str">
        <f t="shared" si="0"/>
        <v/>
      </c>
      <c r="B18" s="27" t="str">
        <f t="shared" si="6"/>
        <v/>
      </c>
      <c r="C18" s="27" t="str">
        <f t="shared" si="7"/>
        <v/>
      </c>
      <c r="D18" s="27" t="str">
        <f t="shared" si="8"/>
        <v/>
      </c>
      <c r="E18" s="27" t="str">
        <f t="shared" si="9"/>
        <v/>
      </c>
      <c r="F18" s="27"/>
      <c r="G18" s="33"/>
      <c r="H18" s="34" t="str">
        <f t="shared" si="10"/>
        <v/>
      </c>
      <c r="I18" s="28"/>
      <c r="J18" s="25" t="s">
        <v>2</v>
      </c>
      <c r="Q18" s="36"/>
      <c r="R18" s="28"/>
    </row>
    <row r="19" s="25" customFormat="1" spans="1:18">
      <c r="A19" s="27" t="str">
        <f t="shared" si="0"/>
        <v/>
      </c>
      <c r="B19" s="27" t="str">
        <f t="shared" si="6"/>
        <v/>
      </c>
      <c r="C19" s="27" t="str">
        <f t="shared" si="7"/>
        <v/>
      </c>
      <c r="D19" s="27" t="str">
        <f t="shared" si="8"/>
        <v/>
      </c>
      <c r="E19" s="27" t="str">
        <f t="shared" si="9"/>
        <v/>
      </c>
      <c r="F19" s="27"/>
      <c r="G19" s="33"/>
      <c r="H19" s="34" t="str">
        <f t="shared" si="10"/>
        <v/>
      </c>
      <c r="I19" s="28"/>
      <c r="J19" s="25" t="s">
        <v>2</v>
      </c>
      <c r="Q19" s="36"/>
      <c r="R19" s="28"/>
    </row>
    <row r="20" s="25" customFormat="1" spans="1:18">
      <c r="A20" s="27" t="str">
        <f t="shared" si="0"/>
        <v/>
      </c>
      <c r="B20" s="27" t="str">
        <f t="shared" si="6"/>
        <v/>
      </c>
      <c r="C20" s="27" t="str">
        <f t="shared" si="7"/>
        <v/>
      </c>
      <c r="D20" s="27" t="str">
        <f t="shared" si="8"/>
        <v/>
      </c>
      <c r="E20" s="27" t="str">
        <f t="shared" si="9"/>
        <v/>
      </c>
      <c r="F20" s="27"/>
      <c r="G20" s="33"/>
      <c r="H20" s="34" t="str">
        <f t="shared" si="10"/>
        <v/>
      </c>
      <c r="I20" s="28"/>
      <c r="J20" s="25" t="s">
        <v>2</v>
      </c>
      <c r="Q20" s="36"/>
      <c r="R20" s="28"/>
    </row>
    <row r="21" s="25" customFormat="1" spans="1:18">
      <c r="A21" s="27" t="str">
        <f t="shared" si="0"/>
        <v/>
      </c>
      <c r="B21" s="27" t="str">
        <f t="shared" si="6"/>
        <v/>
      </c>
      <c r="C21" s="27" t="str">
        <f t="shared" si="7"/>
        <v/>
      </c>
      <c r="D21" s="27" t="str">
        <f t="shared" si="8"/>
        <v/>
      </c>
      <c r="E21" s="27" t="str">
        <f t="shared" si="9"/>
        <v/>
      </c>
      <c r="F21" s="27"/>
      <c r="G21" s="33"/>
      <c r="H21" s="34" t="str">
        <f t="shared" si="10"/>
        <v/>
      </c>
      <c r="I21" s="28"/>
      <c r="J21" s="25" t="s">
        <v>2</v>
      </c>
      <c r="Q21" s="36"/>
      <c r="R21" s="28"/>
    </row>
    <row r="22" s="25" customFormat="1" spans="1:18">
      <c r="A22" s="27" t="str">
        <f t="shared" si="0"/>
        <v/>
      </c>
      <c r="B22" s="27" t="str">
        <f t="shared" si="6"/>
        <v/>
      </c>
      <c r="C22" s="27" t="str">
        <f t="shared" si="7"/>
        <v/>
      </c>
      <c r="D22" s="27" t="str">
        <f t="shared" si="8"/>
        <v/>
      </c>
      <c r="E22" s="27" t="str">
        <f t="shared" si="9"/>
        <v/>
      </c>
      <c r="F22" s="27"/>
      <c r="G22" s="33"/>
      <c r="H22" s="34" t="str">
        <f t="shared" si="10"/>
        <v/>
      </c>
      <c r="I22" s="28"/>
      <c r="J22" s="25" t="s">
        <v>2</v>
      </c>
      <c r="Q22" s="36"/>
      <c r="R22" s="28"/>
    </row>
    <row r="23" s="25" customFormat="1" ht="14.55" spans="1:18">
      <c r="A23" s="38" t="str">
        <f t="shared" si="0"/>
        <v/>
      </c>
      <c r="B23" s="38" t="str">
        <f t="shared" si="6"/>
        <v/>
      </c>
      <c r="C23" s="38" t="str">
        <f t="shared" si="7"/>
        <v/>
      </c>
      <c r="D23" s="38" t="str">
        <f t="shared" si="8"/>
        <v/>
      </c>
      <c r="E23" s="38" t="str">
        <f t="shared" si="9"/>
        <v/>
      </c>
      <c r="F23" s="30"/>
      <c r="G23" s="33"/>
      <c r="H23" s="34" t="str">
        <f t="shared" si="10"/>
        <v/>
      </c>
      <c r="I23" s="28"/>
      <c r="J23" s="25" t="s">
        <v>2</v>
      </c>
      <c r="Q23" s="39"/>
      <c r="R23" s="28"/>
    </row>
    <row r="24" s="25" customFormat="1" spans="1:18">
      <c r="A24" s="27"/>
      <c r="B24" s="30" t="s">
        <v>2</v>
      </c>
      <c r="C24" s="30" t="str">
        <f>IF(G24&lt;&gt;"","&lt;/strong&gt;","")</f>
        <v>&lt;/strong&gt;</v>
      </c>
      <c r="D24" s="30"/>
      <c r="E24" s="30"/>
      <c r="F24" s="27"/>
      <c r="G24" s="40" t="s">
        <v>232</v>
      </c>
      <c r="H24" s="25" t="str">
        <f>IF(G24&lt;&gt;"",CONCATENATE(A24,G24,E24),IF(G23&lt;&gt;"","&lt;/ul&gt;",""))</f>
        <v>fin</v>
      </c>
      <c r="J24" s="25" t="s">
        <v>2</v>
      </c>
      <c r="Q24" s="36"/>
      <c r="R24" s="28"/>
    </row>
    <row r="25" s="25" customFormat="1" spans="1:18">
      <c r="A25" s="27"/>
      <c r="B25" s="30"/>
      <c r="C25" s="30"/>
      <c r="D25" s="30"/>
      <c r="E25" s="30"/>
      <c r="F25" s="27"/>
      <c r="Q25" s="41"/>
      <c r="R25" s="28"/>
    </row>
    <row r="26" s="25" customFormat="1" ht="14.55" spans="1:18">
      <c r="A26" s="27"/>
      <c r="B26" s="27"/>
      <c r="C26" s="27"/>
      <c r="D26" s="27"/>
      <c r="E26" s="27"/>
      <c r="F26" s="27"/>
      <c r="H26" s="25" t="s">
        <v>233</v>
      </c>
      <c r="R26" s="28"/>
    </row>
    <row r="27" s="25" customFormat="1" ht="14.55" spans="1:18">
      <c r="A27" s="27"/>
      <c r="B27" s="27"/>
      <c r="C27" s="27"/>
      <c r="D27" s="27"/>
      <c r="E27" s="27"/>
      <c r="F27" s="27"/>
      <c r="H27" s="31" t="s">
        <v>225</v>
      </c>
      <c r="I27" s="32"/>
      <c r="J27" s="25" t="s">
        <v>2</v>
      </c>
      <c r="K27"/>
      <c r="R27" s="28"/>
    </row>
    <row r="28" s="25" customFormat="1" spans="1:18">
      <c r="A28" s="42" t="str">
        <f t="shared" ref="A28:A33" si="11">IF(G28&lt;&gt;"","&lt;li&gt;","")</f>
        <v/>
      </c>
      <c r="B28" s="43" t="str">
        <f t="shared" ref="B28:B33" si="12">IF(G28&lt;&gt;"",CONCATENATE(A28,G28,C28),"")</f>
        <v/>
      </c>
      <c r="C28" s="43" t="str">
        <f t="shared" ref="C28:C33" si="13">IF(G28&lt;&gt;"","&lt;/li&gt;","")</f>
        <v/>
      </c>
      <c r="D28" s="43"/>
      <c r="E28" s="43" t="str">
        <f t="shared" ref="E28:E33" si="14">IF(G28&lt;&gt;"","&lt;/li&gt;","")</f>
        <v/>
      </c>
      <c r="F28" s="30"/>
      <c r="G28" s="33"/>
      <c r="H28" s="34" t="str">
        <f t="shared" ref="H28:H35" si="15">IF(G28&lt;&gt;"",CONCATENATE(A28,G28,E28),IF(G27&lt;&gt;"","&lt;/ul&gt;",""))</f>
        <v/>
      </c>
      <c r="I28" s="34"/>
      <c r="J28" s="25" t="s">
        <v>2</v>
      </c>
      <c r="K28" s="25"/>
      <c r="Q28" s="36"/>
      <c r="R28" s="28"/>
    </row>
    <row r="29" s="25" customFormat="1" spans="1:18">
      <c r="A29" s="29" t="str">
        <f t="shared" si="11"/>
        <v/>
      </c>
      <c r="B29" s="27" t="str">
        <f t="shared" si="12"/>
        <v/>
      </c>
      <c r="C29" s="27" t="str">
        <f t="shared" si="13"/>
        <v/>
      </c>
      <c r="D29" s="27"/>
      <c r="E29" s="27" t="str">
        <f t="shared" si="14"/>
        <v/>
      </c>
      <c r="F29" s="27"/>
      <c r="G29" s="33"/>
      <c r="H29" s="34" t="str">
        <f t="shared" si="15"/>
        <v/>
      </c>
      <c r="I29" s="34"/>
      <c r="J29" s="25" t="s">
        <v>2</v>
      </c>
      <c r="K29" s="25"/>
      <c r="Q29" s="36"/>
      <c r="R29" s="28"/>
    </row>
    <row r="30" s="25" customFormat="1" spans="1:18">
      <c r="A30" s="29" t="str">
        <f t="shared" si="11"/>
        <v/>
      </c>
      <c r="B30" s="27" t="str">
        <f t="shared" si="12"/>
        <v/>
      </c>
      <c r="C30" s="27" t="str">
        <f t="shared" si="13"/>
        <v/>
      </c>
      <c r="D30" s="27"/>
      <c r="E30" s="27" t="str">
        <f t="shared" si="14"/>
        <v/>
      </c>
      <c r="F30" s="27"/>
      <c r="G30" s="33"/>
      <c r="H30" s="34" t="str">
        <f t="shared" si="15"/>
        <v/>
      </c>
      <c r="I30" s="34"/>
      <c r="J30" s="25" t="s">
        <v>2</v>
      </c>
      <c r="Q30" s="36"/>
      <c r="R30" s="28"/>
    </row>
    <row r="31" s="25" customFormat="1" spans="1:18">
      <c r="A31" s="29" t="str">
        <f t="shared" si="11"/>
        <v/>
      </c>
      <c r="B31" s="27" t="str">
        <f t="shared" si="12"/>
        <v/>
      </c>
      <c r="C31" s="27" t="str">
        <f t="shared" si="13"/>
        <v/>
      </c>
      <c r="D31" s="27"/>
      <c r="E31" s="27" t="str">
        <f t="shared" si="14"/>
        <v/>
      </c>
      <c r="F31" s="27"/>
      <c r="G31" s="33"/>
      <c r="H31" s="34" t="str">
        <f t="shared" si="15"/>
        <v/>
      </c>
      <c r="I31" s="34"/>
      <c r="J31" s="25" t="s">
        <v>2</v>
      </c>
      <c r="K31" s="25"/>
      <c r="Q31" s="36"/>
      <c r="R31" s="28"/>
    </row>
    <row r="32" s="25" customFormat="1" spans="1:18">
      <c r="A32" s="29" t="str">
        <f t="shared" si="11"/>
        <v/>
      </c>
      <c r="B32" s="27" t="str">
        <f t="shared" si="12"/>
        <v/>
      </c>
      <c r="C32" s="27" t="str">
        <f t="shared" si="13"/>
        <v/>
      </c>
      <c r="D32" s="27"/>
      <c r="E32" s="27" t="str">
        <f t="shared" si="14"/>
        <v/>
      </c>
      <c r="F32" s="27"/>
      <c r="G32" s="33"/>
      <c r="H32" s="34" t="str">
        <f t="shared" si="15"/>
        <v/>
      </c>
      <c r="I32" s="34"/>
      <c r="J32" s="25" t="s">
        <v>2</v>
      </c>
      <c r="Q32" s="36"/>
      <c r="R32" s="28"/>
    </row>
    <row r="33" s="25" customFormat="1" spans="1:18">
      <c r="A33" s="29" t="str">
        <f t="shared" si="11"/>
        <v/>
      </c>
      <c r="B33" s="27" t="str">
        <f t="shared" si="12"/>
        <v/>
      </c>
      <c r="C33" s="27" t="str">
        <f t="shared" si="13"/>
        <v/>
      </c>
      <c r="D33" s="27"/>
      <c r="E33" s="27" t="str">
        <f t="shared" si="14"/>
        <v/>
      </c>
      <c r="F33" s="27"/>
      <c r="G33" s="33"/>
      <c r="H33" s="34" t="str">
        <f t="shared" si="15"/>
        <v/>
      </c>
      <c r="I33" s="34"/>
      <c r="J33" s="25" t="s">
        <v>2</v>
      </c>
      <c r="Q33" s="36"/>
      <c r="R33" s="28"/>
    </row>
    <row r="34" s="25" customFormat="1" spans="1:18">
      <c r="A34" s="29" t="str">
        <f t="shared" ref="A34:A46" si="16">IF(G34&lt;&gt;"","&lt;li&gt;","")</f>
        <v/>
      </c>
      <c r="B34" s="27" t="str">
        <f t="shared" ref="B34:B47" si="17">IF(G34&lt;&gt;"",CONCATENATE(A34,G34,C34),"")</f>
        <v/>
      </c>
      <c r="C34" s="27" t="str">
        <f t="shared" ref="C34:C47" si="18">IF(G34&lt;&gt;"","&lt;/li&gt;","")</f>
        <v/>
      </c>
      <c r="D34" s="27"/>
      <c r="E34" s="27" t="str">
        <f t="shared" ref="E34:E47" si="19">IF(G34&lt;&gt;"","&lt;/li&gt;","")</f>
        <v/>
      </c>
      <c r="F34" s="27"/>
      <c r="G34" s="33"/>
      <c r="H34" s="34" t="str">
        <f t="shared" si="15"/>
        <v/>
      </c>
      <c r="I34" s="34"/>
      <c r="J34" s="25" t="s">
        <v>2</v>
      </c>
      <c r="Q34" s="36"/>
      <c r="R34" s="28"/>
    </row>
    <row r="35" s="25" customFormat="1" spans="1:18">
      <c r="A35" s="29" t="str">
        <f t="shared" si="16"/>
        <v/>
      </c>
      <c r="B35" s="27" t="str">
        <f t="shared" si="17"/>
        <v/>
      </c>
      <c r="C35" s="27" t="str">
        <f t="shared" si="18"/>
        <v/>
      </c>
      <c r="D35" s="27"/>
      <c r="E35" s="27" t="str">
        <f t="shared" si="19"/>
        <v/>
      </c>
      <c r="F35" s="27"/>
      <c r="G35" s="33"/>
      <c r="H35" s="34" t="str">
        <f t="shared" si="15"/>
        <v/>
      </c>
      <c r="I35" s="34"/>
      <c r="J35" s="25" t="s">
        <v>2</v>
      </c>
      <c r="Q35" s="36"/>
      <c r="R35" s="28"/>
    </row>
    <row r="36" s="25" customFormat="1" spans="1:18">
      <c r="A36" s="29" t="str">
        <f t="shared" si="16"/>
        <v/>
      </c>
      <c r="B36" s="27" t="str">
        <f t="shared" si="17"/>
        <v/>
      </c>
      <c r="C36" s="27" t="str">
        <f t="shared" si="18"/>
        <v/>
      </c>
      <c r="D36" s="27"/>
      <c r="E36" s="27" t="str">
        <f t="shared" si="19"/>
        <v/>
      </c>
      <c r="F36" s="27"/>
      <c r="G36" s="33"/>
      <c r="H36" s="34" t="str">
        <f t="shared" ref="H34:H47" si="20">IF(G36&lt;&gt;"",CONCATENATE(A36,G36,E36),IF(G35&lt;&gt;"","&lt;/ul&gt;",""))</f>
        <v/>
      </c>
      <c r="I36" s="34"/>
      <c r="J36" s="25" t="s">
        <v>2</v>
      </c>
      <c r="Q36" s="36"/>
      <c r="R36" s="28"/>
    </row>
    <row r="37" s="25" customFormat="1" spans="1:18">
      <c r="A37" s="29" t="str">
        <f t="shared" si="16"/>
        <v/>
      </c>
      <c r="B37" s="27" t="str">
        <f t="shared" si="17"/>
        <v/>
      </c>
      <c r="C37" s="27" t="str">
        <f t="shared" si="18"/>
        <v/>
      </c>
      <c r="D37" s="27"/>
      <c r="E37" s="27" t="str">
        <f t="shared" si="19"/>
        <v/>
      </c>
      <c r="F37" s="27"/>
      <c r="G37" s="33"/>
      <c r="H37" s="34" t="str">
        <f t="shared" si="20"/>
        <v/>
      </c>
      <c r="I37" s="34"/>
      <c r="J37" s="25" t="s">
        <v>2</v>
      </c>
      <c r="Q37" s="36"/>
      <c r="R37" s="28"/>
    </row>
    <row r="38" s="25" customFormat="1" spans="1:18">
      <c r="A38" s="29" t="str">
        <f t="shared" si="16"/>
        <v/>
      </c>
      <c r="B38" s="27" t="str">
        <f t="shared" si="17"/>
        <v/>
      </c>
      <c r="C38" s="27" t="str">
        <f t="shared" si="18"/>
        <v/>
      </c>
      <c r="D38" s="27"/>
      <c r="E38" s="27" t="str">
        <f t="shared" si="19"/>
        <v/>
      </c>
      <c r="F38" s="27"/>
      <c r="G38" s="33"/>
      <c r="H38" s="34" t="str">
        <f t="shared" si="20"/>
        <v/>
      </c>
      <c r="I38" s="34"/>
      <c r="J38" s="25" t="s">
        <v>2</v>
      </c>
      <c r="Q38" s="36"/>
      <c r="R38" s="28"/>
    </row>
    <row r="39" s="25" customFormat="1" spans="1:18">
      <c r="A39" s="29" t="str">
        <f t="shared" si="16"/>
        <v/>
      </c>
      <c r="B39" s="27" t="str">
        <f t="shared" si="17"/>
        <v/>
      </c>
      <c r="C39" s="27" t="str">
        <f t="shared" si="18"/>
        <v/>
      </c>
      <c r="D39" s="27"/>
      <c r="E39" s="27" t="str">
        <f t="shared" si="19"/>
        <v/>
      </c>
      <c r="F39" s="27"/>
      <c r="G39" s="33"/>
      <c r="H39" s="34" t="str">
        <f t="shared" si="20"/>
        <v/>
      </c>
      <c r="I39" s="34"/>
      <c r="J39" s="25" t="s">
        <v>2</v>
      </c>
      <c r="Q39" s="36"/>
      <c r="R39" s="28"/>
    </row>
    <row r="40" s="25" customFormat="1" spans="1:18">
      <c r="A40" s="29" t="str">
        <f t="shared" si="16"/>
        <v/>
      </c>
      <c r="B40" s="27" t="str">
        <f t="shared" si="17"/>
        <v/>
      </c>
      <c r="C40" s="27" t="str">
        <f t="shared" si="18"/>
        <v/>
      </c>
      <c r="D40" s="27"/>
      <c r="E40" s="27" t="str">
        <f t="shared" si="19"/>
        <v/>
      </c>
      <c r="F40" s="27"/>
      <c r="G40" s="33"/>
      <c r="H40" s="34" t="str">
        <f t="shared" si="20"/>
        <v/>
      </c>
      <c r="I40" s="34"/>
      <c r="J40" s="25" t="s">
        <v>2</v>
      </c>
      <c r="Q40" s="36"/>
      <c r="R40" s="28"/>
    </row>
    <row r="41" s="25" customFormat="1" spans="1:18">
      <c r="A41" s="29" t="str">
        <f t="shared" si="16"/>
        <v/>
      </c>
      <c r="B41" s="27" t="str">
        <f t="shared" si="17"/>
        <v/>
      </c>
      <c r="C41" s="27" t="str">
        <f t="shared" si="18"/>
        <v/>
      </c>
      <c r="D41" s="27"/>
      <c r="E41" s="27" t="str">
        <f t="shared" si="19"/>
        <v/>
      </c>
      <c r="F41" s="27"/>
      <c r="G41" s="33"/>
      <c r="H41" s="34" t="str">
        <f t="shared" si="20"/>
        <v/>
      </c>
      <c r="I41" s="34"/>
      <c r="J41" s="25" t="s">
        <v>2</v>
      </c>
      <c r="Q41" s="36"/>
      <c r="R41" s="28"/>
    </row>
    <row r="42" s="25" customFormat="1" spans="1:18">
      <c r="A42" s="29" t="str">
        <f t="shared" si="16"/>
        <v/>
      </c>
      <c r="B42" s="27" t="str">
        <f t="shared" si="17"/>
        <v/>
      </c>
      <c r="C42" s="27" t="str">
        <f t="shared" si="18"/>
        <v/>
      </c>
      <c r="D42" s="27"/>
      <c r="E42" s="27" t="str">
        <f t="shared" si="19"/>
        <v/>
      </c>
      <c r="F42" s="27"/>
      <c r="G42" s="33"/>
      <c r="H42" s="34" t="str">
        <f t="shared" si="20"/>
        <v/>
      </c>
      <c r="I42" s="34"/>
      <c r="J42" s="25" t="s">
        <v>2</v>
      </c>
      <c r="Q42" s="36"/>
      <c r="R42" s="28"/>
    </row>
    <row r="43" s="25" customFormat="1" spans="1:18">
      <c r="A43" s="29" t="str">
        <f t="shared" si="16"/>
        <v/>
      </c>
      <c r="B43" s="27" t="str">
        <f t="shared" si="17"/>
        <v/>
      </c>
      <c r="C43" s="27" t="str">
        <f t="shared" si="18"/>
        <v/>
      </c>
      <c r="D43" s="27"/>
      <c r="E43" s="27" t="str">
        <f t="shared" si="19"/>
        <v/>
      </c>
      <c r="F43" s="27"/>
      <c r="G43" s="33"/>
      <c r="H43" s="34" t="str">
        <f t="shared" si="20"/>
        <v/>
      </c>
      <c r="I43" s="34"/>
      <c r="J43" s="25" t="s">
        <v>2</v>
      </c>
      <c r="Q43" s="36"/>
      <c r="R43" s="28"/>
    </row>
    <row r="44" s="25" customFormat="1" spans="1:18">
      <c r="A44" s="29" t="str">
        <f t="shared" si="16"/>
        <v/>
      </c>
      <c r="B44" s="27" t="str">
        <f t="shared" si="17"/>
        <v/>
      </c>
      <c r="C44" s="27" t="str">
        <f t="shared" si="18"/>
        <v/>
      </c>
      <c r="D44" s="27"/>
      <c r="E44" s="27" t="str">
        <f t="shared" si="19"/>
        <v/>
      </c>
      <c r="F44" s="27"/>
      <c r="G44" s="33"/>
      <c r="H44" s="34" t="str">
        <f t="shared" si="20"/>
        <v/>
      </c>
      <c r="I44" s="34"/>
      <c r="J44" s="25" t="s">
        <v>2</v>
      </c>
      <c r="Q44" s="36"/>
      <c r="R44" s="28"/>
    </row>
    <row r="45" s="25" customFormat="1" ht="14.55" spans="1:18">
      <c r="A45" s="29" t="str">
        <f t="shared" si="16"/>
        <v/>
      </c>
      <c r="B45" s="27" t="str">
        <f t="shared" si="17"/>
        <v/>
      </c>
      <c r="C45" s="27" t="str">
        <f t="shared" si="18"/>
        <v/>
      </c>
      <c r="D45" s="27"/>
      <c r="E45" s="27" t="str">
        <f t="shared" si="19"/>
        <v/>
      </c>
      <c r="F45" s="27"/>
      <c r="G45" s="33"/>
      <c r="H45" s="34" t="str">
        <f t="shared" si="20"/>
        <v/>
      </c>
      <c r="I45" s="34"/>
      <c r="J45" s="25" t="s">
        <v>2</v>
      </c>
      <c r="Q45" s="39"/>
      <c r="R45" s="28"/>
    </row>
    <row r="46" s="25" customFormat="1" ht="14.55" spans="1:18">
      <c r="A46" s="44" t="str">
        <f t="shared" si="16"/>
        <v/>
      </c>
      <c r="B46" s="38" t="str">
        <f t="shared" si="17"/>
        <v/>
      </c>
      <c r="C46" s="38" t="str">
        <f t="shared" si="18"/>
        <v/>
      </c>
      <c r="D46" s="38"/>
      <c r="E46" s="38" t="str">
        <f t="shared" si="19"/>
        <v/>
      </c>
      <c r="F46" s="30"/>
      <c r="G46" s="33"/>
      <c r="H46" s="34" t="str">
        <f t="shared" si="20"/>
        <v/>
      </c>
      <c r="I46" s="34"/>
      <c r="J46" s="25" t="s">
        <v>2</v>
      </c>
      <c r="Q46" s="36"/>
      <c r="R46" s="28"/>
    </row>
    <row r="47" s="25" customFormat="1" spans="1:18">
      <c r="A47" s="27" t="str">
        <f>IF(G47&lt;&gt;"",$A$26,"")</f>
        <v/>
      </c>
      <c r="B47" s="30" t="str">
        <f t="shared" si="17"/>
        <v/>
      </c>
      <c r="C47" s="30" t="str">
        <f t="shared" si="18"/>
        <v/>
      </c>
      <c r="D47" s="30"/>
      <c r="E47" s="30" t="str">
        <f t="shared" si="19"/>
        <v/>
      </c>
      <c r="F47" s="27"/>
      <c r="H47" s="25" t="str">
        <f t="shared" si="20"/>
        <v/>
      </c>
      <c r="J47" s="25" t="s">
        <v>2</v>
      </c>
      <c r="Q47" s="36"/>
      <c r="R47" s="28"/>
    </row>
    <row r="48" s="25" customFormat="1" spans="1:18">
      <c r="A48" s="27"/>
      <c r="B48" s="27"/>
      <c r="C48" s="27"/>
      <c r="D48" s="27"/>
      <c r="E48" s="27"/>
      <c r="F48" s="27"/>
      <c r="R48" s="28"/>
    </row>
    <row r="49" ht="14.55" spans="1:12">
      <c r="G49" s="29"/>
      <c r="H49" s="25" t="s">
        <v>234</v>
      </c>
      <c r="I49" s="25"/>
    </row>
    <row r="50" spans="1:12">
      <c r="B50" s="30"/>
      <c r="C50" s="30"/>
      <c r="D50" s="30"/>
      <c r="E50" s="30"/>
      <c r="F50" s="27"/>
      <c r="G50" s="32" t="s">
        <v>235</v>
      </c>
      <c r="H50" s="31" t="s">
        <v>225</v>
      </c>
    </row>
    <row r="51" spans="1:12">
      <c r="A51" s="27" t="str">
        <f t="shared" ref="A51:A67" si="21">IF(F51&lt;&gt;"",CONCATENATE(CONCATENATE("&lt;li&gt;",$G$50),$G$49),"")</f>
        <v>&lt;li&gt;&lt;code class="language-py"&gt;</v>
      </c>
      <c r="B51" s="27" t="str">
        <f t="shared" ref="B51:B67" si="22">IF(F51&lt;&gt;"",LEFT(F51,FIND(":",F51,1)-1),"")</f>
        <v>.sum()</v>
      </c>
      <c r="C51" s="27" t="str">
        <f t="shared" ref="C51:C67" si="23">IF(G51&lt;&gt;"","&lt;/code&gt;","")</f>
        <v>&lt;/code&gt;</v>
      </c>
      <c r="D51" s="27" t="str">
        <f t="shared" ref="D51:D67" si="24">IF(F51&lt;&gt;"",RIGHT(F51,LEN(G51)-FIND(":",G51,1)),"")</f>
        <v> para obtener la suma de los valores,</v>
      </c>
      <c r="E51" s="27" t="str">
        <f t="shared" ref="E51:E67" si="25">IF(G51&lt;&gt;"","&lt;/li&gt;","")</f>
        <v>&lt;/li&gt;</v>
      </c>
      <c r="F51" s="27" t="str">
        <f t="shared" ref="F51:F67" si="26">IF(G51="","",SUBSTITUTE(SUBSTITUTE(G51,"&lt;","&amp;lt;"),"&gt;","&amp;gt;"))</f>
        <v>.sum(): para obtener la suma de los valores,</v>
      </c>
      <c r="G51" s="33" t="s">
        <v>236</v>
      </c>
      <c r="H51" s="34" t="str">
        <f>IF(G51&lt;&gt;"",CONCATENATE(A51,B51,C51,":",D51,E51),IF(G50&lt;&gt;"","&lt;/ul&gt;",""))</f>
        <v>&lt;li&gt;&lt;code class="language-py"&gt;.sum()&lt;/code&gt;: para obtener la suma de los valores,&lt;/li&gt;</v>
      </c>
      <c r="I51" s="28"/>
    </row>
    <row r="52" ht="14.4" spans="1:12">
      <c r="A52" s="27" t="str">
        <f t="shared" si="21"/>
        <v>&lt;li&gt;&lt;code class="language-py"&gt;</v>
      </c>
      <c r="B52" s="27" t="str">
        <f t="shared" si="22"/>
        <v>.mean()</v>
      </c>
      <c r="C52" s="27" t="str">
        <f t="shared" si="23"/>
        <v>&lt;/code&gt;</v>
      </c>
      <c r="D52" s="27" t="str">
        <f t="shared" si="24"/>
        <v> para calcular el promedio,</v>
      </c>
      <c r="E52" s="27" t="str">
        <f t="shared" si="25"/>
        <v>&lt;/li&gt;</v>
      </c>
      <c r="F52" s="27" t="str">
        <f t="shared" si="26"/>
        <v>.mean(): para calcular el promedio,</v>
      </c>
      <c r="G52" s="33" t="s">
        <v>237</v>
      </c>
      <c r="H52" s="34" t="str">
        <f t="shared" ref="H51:H67" si="27">IF(G52&lt;&gt;"",CONCATENATE(A52,B52,C52,":",D52,E52),IF(G51&lt;&gt;"","&lt;/ul&gt;",""))</f>
        <v>&lt;li&gt;&lt;code class="language-py"&gt;.mean()&lt;/code&gt;: para calcular el promedio,&lt;/li&gt;</v>
      </c>
      <c r="I52" s="28"/>
      <c r="L52" s="45"/>
    </row>
    <row r="53" ht="14.4" spans="1:12">
      <c r="A53" s="27" t="str">
        <f t="shared" si="21"/>
        <v>&lt;li&gt;&lt;code class="language-py"&gt;</v>
      </c>
      <c r="B53" s="27" t="str">
        <f t="shared" si="22"/>
        <v>.max()</v>
      </c>
      <c r="C53" s="27" t="str">
        <f t="shared" si="23"/>
        <v>&lt;/code&gt;</v>
      </c>
      <c r="D53" s="27" t="str">
        <f t="shared" si="24"/>
        <v> y .min() para identificar valores extremos,</v>
      </c>
      <c r="E53" s="27" t="str">
        <f t="shared" si="25"/>
        <v>&lt;/li&gt;</v>
      </c>
      <c r="F53" s="27" t="str">
        <f t="shared" si="26"/>
        <v>.max(): y .min() para identificar valores extremos,</v>
      </c>
      <c r="G53" s="33" t="s">
        <v>238</v>
      </c>
      <c r="H53" s="34" t="str">
        <f t="shared" si="27"/>
        <v>&lt;li&gt;&lt;code class="language-py"&gt;.max()&lt;/code&gt;: y .min() para identificar valores extremos,&lt;/li&gt;</v>
      </c>
      <c r="I53" s="28"/>
      <c r="L53" s="46"/>
    </row>
    <row r="54" ht="14.4" spans="1:12">
      <c r="A54" s="27" t="str">
        <f t="shared" si="21"/>
        <v>&lt;li&gt;&lt;code class="language-py"&gt;</v>
      </c>
      <c r="B54" s="27" t="str">
        <f t="shared" si="22"/>
        <v>.value_counts()</v>
      </c>
      <c r="C54" s="27" t="str">
        <f t="shared" si="23"/>
        <v>&lt;/code&gt;</v>
      </c>
      <c r="D54" s="27" t="str">
        <f t="shared" si="24"/>
        <v> para contar repeticiones.</v>
      </c>
      <c r="E54" s="27" t="str">
        <f t="shared" si="25"/>
        <v>&lt;/li&gt;</v>
      </c>
      <c r="F54" s="27" t="str">
        <f t="shared" si="26"/>
        <v>.value_counts(): para contar repeticiones.</v>
      </c>
      <c r="G54" s="33" t="s">
        <v>239</v>
      </c>
      <c r="H54" s="34" t="str">
        <f t="shared" si="27"/>
        <v>&lt;li&gt;&lt;code class="language-py"&gt;.value_counts()&lt;/code&gt;: para contar repeticiones.&lt;/li&gt;</v>
      </c>
      <c r="I54" s="28"/>
      <c r="L54" s="46"/>
    </row>
    <row r="55" spans="1:12">
      <c r="A55" s="27" t="str">
        <f t="shared" si="21"/>
        <v/>
      </c>
      <c r="B55" s="27" t="str">
        <f t="shared" si="22"/>
        <v/>
      </c>
      <c r="C55" s="27" t="str">
        <f t="shared" si="23"/>
        <v/>
      </c>
      <c r="D55" s="27" t="str">
        <f t="shared" si="24"/>
        <v/>
      </c>
      <c r="E55" s="27" t="str">
        <f t="shared" si="25"/>
        <v/>
      </c>
      <c r="F55" s="27" t="str">
        <f t="shared" si="26"/>
        <v/>
      </c>
      <c r="G55" s="33"/>
      <c r="H55" s="34" t="str">
        <f t="shared" si="27"/>
        <v>&lt;/ul&gt;</v>
      </c>
      <c r="I55" s="28"/>
    </row>
    <row r="56" spans="1:12">
      <c r="A56" s="27" t="str">
        <f t="shared" si="21"/>
        <v/>
      </c>
      <c r="B56" s="27" t="str">
        <f t="shared" si="22"/>
        <v/>
      </c>
      <c r="C56" s="27" t="str">
        <f t="shared" si="23"/>
        <v/>
      </c>
      <c r="D56" s="27" t="str">
        <f t="shared" si="24"/>
        <v/>
      </c>
      <c r="E56" s="27" t="str">
        <f t="shared" si="25"/>
        <v/>
      </c>
      <c r="F56" s="27" t="str">
        <f t="shared" si="26"/>
        <v/>
      </c>
      <c r="G56" s="33"/>
      <c r="H56" s="34" t="str">
        <f t="shared" si="27"/>
        <v/>
      </c>
      <c r="I56" s="28"/>
    </row>
    <row r="57" spans="1:12">
      <c r="A57" s="27" t="str">
        <f t="shared" si="21"/>
        <v/>
      </c>
      <c r="B57" s="27" t="str">
        <f t="shared" si="22"/>
        <v/>
      </c>
      <c r="C57" s="27" t="str">
        <f t="shared" si="23"/>
        <v/>
      </c>
      <c r="D57" s="27" t="str">
        <f t="shared" si="24"/>
        <v/>
      </c>
      <c r="E57" s="27" t="str">
        <f t="shared" si="25"/>
        <v/>
      </c>
      <c r="F57" s="27" t="str">
        <f t="shared" si="26"/>
        <v/>
      </c>
      <c r="G57" s="33"/>
      <c r="H57" s="34" t="str">
        <f t="shared" si="27"/>
        <v/>
      </c>
      <c r="I57" s="28"/>
    </row>
    <row r="58" spans="1:12">
      <c r="A58" s="27" t="str">
        <f t="shared" si="21"/>
        <v/>
      </c>
      <c r="B58" s="27" t="str">
        <f t="shared" si="22"/>
        <v/>
      </c>
      <c r="C58" s="27" t="str">
        <f t="shared" si="23"/>
        <v/>
      </c>
      <c r="D58" s="27" t="str">
        <f t="shared" si="24"/>
        <v/>
      </c>
      <c r="E58" s="27" t="str">
        <f t="shared" si="25"/>
        <v/>
      </c>
      <c r="F58" s="27" t="str">
        <f t="shared" si="26"/>
        <v/>
      </c>
      <c r="G58" s="33"/>
      <c r="H58" s="34" t="str">
        <f t="shared" si="27"/>
        <v/>
      </c>
      <c r="I58" s="28"/>
    </row>
    <row r="59" spans="1:12">
      <c r="A59" s="27" t="str">
        <f t="shared" si="21"/>
        <v/>
      </c>
      <c r="B59" s="27" t="str">
        <f t="shared" si="22"/>
        <v/>
      </c>
      <c r="C59" s="27" t="str">
        <f t="shared" si="23"/>
        <v/>
      </c>
      <c r="D59" s="27" t="str">
        <f t="shared" si="24"/>
        <v/>
      </c>
      <c r="E59" s="27" t="str">
        <f t="shared" si="25"/>
        <v/>
      </c>
      <c r="F59" s="27" t="str">
        <f t="shared" si="26"/>
        <v/>
      </c>
      <c r="G59" s="33"/>
      <c r="H59" s="34" t="str">
        <f t="shared" si="27"/>
        <v/>
      </c>
      <c r="I59" s="28"/>
    </row>
    <row r="60" spans="1:12">
      <c r="A60" s="27" t="str">
        <f t="shared" si="21"/>
        <v/>
      </c>
      <c r="B60" s="27" t="str">
        <f t="shared" si="22"/>
        <v/>
      </c>
      <c r="C60" s="27" t="str">
        <f t="shared" si="23"/>
        <v/>
      </c>
      <c r="D60" s="27" t="str">
        <f t="shared" si="24"/>
        <v/>
      </c>
      <c r="E60" s="27" t="str">
        <f t="shared" si="25"/>
        <v/>
      </c>
      <c r="F60" s="27" t="str">
        <f t="shared" si="26"/>
        <v/>
      </c>
      <c r="G60" s="33"/>
      <c r="H60" s="34" t="str">
        <f t="shared" si="27"/>
        <v/>
      </c>
      <c r="I60" s="28"/>
    </row>
    <row r="61" spans="1:12">
      <c r="A61" s="27" t="str">
        <f t="shared" si="21"/>
        <v/>
      </c>
      <c r="B61" s="27" t="str">
        <f t="shared" si="22"/>
        <v/>
      </c>
      <c r="C61" s="27" t="str">
        <f t="shared" si="23"/>
        <v/>
      </c>
      <c r="D61" s="27" t="str">
        <f t="shared" si="24"/>
        <v/>
      </c>
      <c r="E61" s="27" t="str">
        <f t="shared" si="25"/>
        <v/>
      </c>
      <c r="F61" s="27" t="str">
        <f t="shared" si="26"/>
        <v/>
      </c>
      <c r="G61" s="33"/>
      <c r="H61" s="34" t="str">
        <f t="shared" si="27"/>
        <v/>
      </c>
      <c r="I61" s="28"/>
    </row>
    <row r="62" spans="1:12">
      <c r="A62" s="27" t="str">
        <f t="shared" si="21"/>
        <v/>
      </c>
      <c r="B62" s="27" t="str">
        <f t="shared" si="22"/>
        <v/>
      </c>
      <c r="C62" s="27" t="str">
        <f t="shared" si="23"/>
        <v/>
      </c>
      <c r="D62" s="27" t="str">
        <f t="shared" si="24"/>
        <v/>
      </c>
      <c r="E62" s="27" t="str">
        <f t="shared" si="25"/>
        <v/>
      </c>
      <c r="F62" s="27" t="str">
        <f t="shared" si="26"/>
        <v/>
      </c>
      <c r="G62" s="33"/>
      <c r="H62" s="34" t="str">
        <f t="shared" si="27"/>
        <v/>
      </c>
      <c r="I62" s="28"/>
    </row>
    <row r="63" spans="1:12">
      <c r="A63" s="27" t="str">
        <f t="shared" si="21"/>
        <v/>
      </c>
      <c r="B63" s="27" t="str">
        <f t="shared" si="22"/>
        <v/>
      </c>
      <c r="C63" s="27" t="str">
        <f t="shared" si="23"/>
        <v/>
      </c>
      <c r="D63" s="27" t="str">
        <f t="shared" si="24"/>
        <v/>
      </c>
      <c r="E63" s="27" t="str">
        <f t="shared" si="25"/>
        <v/>
      </c>
      <c r="F63" s="27" t="str">
        <f t="shared" si="26"/>
        <v/>
      </c>
      <c r="G63" s="33"/>
      <c r="H63" s="34" t="str">
        <f t="shared" si="27"/>
        <v/>
      </c>
      <c r="I63" s="28"/>
    </row>
    <row r="64" spans="1:12">
      <c r="A64" s="27" t="str">
        <f t="shared" si="21"/>
        <v/>
      </c>
      <c r="B64" s="27" t="str">
        <f t="shared" si="22"/>
        <v/>
      </c>
      <c r="C64" s="27" t="str">
        <f t="shared" si="23"/>
        <v/>
      </c>
      <c r="D64" s="27" t="str">
        <f t="shared" si="24"/>
        <v/>
      </c>
      <c r="E64" s="27" t="str">
        <f t="shared" si="25"/>
        <v/>
      </c>
      <c r="F64" s="27" t="str">
        <f t="shared" si="26"/>
        <v/>
      </c>
      <c r="G64" s="33"/>
      <c r="H64" s="34" t="str">
        <f t="shared" si="27"/>
        <v/>
      </c>
      <c r="I64" s="28"/>
    </row>
    <row r="65" spans="1:18">
      <c r="A65" s="27" t="str">
        <f t="shared" si="21"/>
        <v/>
      </c>
      <c r="B65" s="27" t="str">
        <f t="shared" si="22"/>
        <v/>
      </c>
      <c r="C65" s="27" t="str">
        <f t="shared" si="23"/>
        <v/>
      </c>
      <c r="D65" s="27" t="str">
        <f t="shared" si="24"/>
        <v/>
      </c>
      <c r="E65" s="27" t="str">
        <f t="shared" si="25"/>
        <v/>
      </c>
      <c r="F65" s="27" t="str">
        <f t="shared" si="26"/>
        <v/>
      </c>
      <c r="G65" s="33"/>
      <c r="H65" s="34" t="str">
        <f t="shared" si="27"/>
        <v/>
      </c>
      <c r="I65" s="28"/>
    </row>
    <row r="66" spans="1:18">
      <c r="A66" s="27" t="str">
        <f t="shared" si="21"/>
        <v/>
      </c>
      <c r="B66" s="27" t="str">
        <f t="shared" si="22"/>
        <v/>
      </c>
      <c r="C66" s="27" t="str">
        <f t="shared" si="23"/>
        <v/>
      </c>
      <c r="D66" s="27" t="str">
        <f t="shared" si="24"/>
        <v/>
      </c>
      <c r="E66" s="27" t="str">
        <f t="shared" si="25"/>
        <v/>
      </c>
      <c r="F66" s="27" t="str">
        <f t="shared" si="26"/>
        <v/>
      </c>
      <c r="G66" s="33"/>
      <c r="H66" s="34" t="str">
        <f t="shared" si="27"/>
        <v/>
      </c>
      <c r="I66" s="28"/>
    </row>
    <row r="67" spans="1:18">
      <c r="A67" s="27" t="str">
        <f t="shared" si="21"/>
        <v/>
      </c>
      <c r="B67" s="27" t="str">
        <f t="shared" si="22"/>
        <v/>
      </c>
      <c r="C67" s="27" t="str">
        <f t="shared" si="23"/>
        <v/>
      </c>
      <c r="D67" s="27" t="str">
        <f t="shared" si="24"/>
        <v/>
      </c>
      <c r="E67" s="27" t="str">
        <f t="shared" si="25"/>
        <v/>
      </c>
      <c r="F67" s="27" t="str">
        <f t="shared" si="26"/>
        <v/>
      </c>
      <c r="G67" s="33"/>
      <c r="H67" s="34" t="str">
        <f t="shared" si="27"/>
        <v/>
      </c>
      <c r="I67" s="28"/>
    </row>
    <row r="68" spans="1:18">
      <c r="G68" s="25"/>
      <c r="H68" s="25" t="str">
        <f>IF(G68&lt;&gt;"",CONCATENATE(A68,G68,E68),IF(G67&lt;&gt;"","&lt;/ul&gt;",""))</f>
        <v/>
      </c>
      <c r="I68" s="25"/>
    </row>
    <row r="71" s="25" customFormat="1" ht="14.55" spans="1:18">
      <c r="A71" s="29" t="s">
        <v>224</v>
      </c>
      <c r="B71" s="27"/>
      <c r="C71" s="27"/>
      <c r="D71" s="27"/>
      <c r="E71" s="27"/>
      <c r="F71" s="27"/>
      <c r="H71" t="s">
        <v>240</v>
      </c>
      <c r="R71" s="28"/>
    </row>
    <row r="72" s="25" customFormat="1" spans="1:18">
      <c r="A72" s="43" t="str">
        <f t="shared" ref="A72:A88" si="28">IF(G72&lt;&gt;"",CONCATENATE("&lt;p&gt;",$A$71),"")</f>
        <v>&lt;p&gt;&lt;span class="fw-bold"&gt;</v>
      </c>
      <c r="B72" s="43" t="str">
        <f t="shared" ref="B72:B88" si="29">IF(G72&lt;&gt;"",LEFT(G72,FIND(":",G72,1)-1),"")</f>
        <v>Ejemplos</v>
      </c>
      <c r="C72" s="43" t="str">
        <f t="shared" ref="C72:C88" si="30">IF(G72&lt;&gt;"","&lt;/span&gt;","")</f>
        <v>&lt;/span&gt;</v>
      </c>
      <c r="D72" s="43" t="str">
        <f t="shared" ref="D72:D88" si="31">IF(G72&lt;&gt;"",RIGHT(G72,LEN(G72)-FIND(":",G72,1)),"")</f>
        <v/>
      </c>
      <c r="E72" s="43" t="str">
        <f t="shared" ref="E72:E88" si="32">IF(G72&lt;&gt;"","&lt;/p&gt;","")</f>
        <v>&lt;/p&gt;</v>
      </c>
      <c r="F72" s="30"/>
      <c r="G72" s="47" t="s">
        <v>241</v>
      </c>
      <c r="H72" s="34" t="str">
        <f t="shared" ref="H72:H88" si="33">IF(G72&lt;&gt;"",CONCATENATE(A72,B72,C72,":",D72,E72),"")</f>
        <v>&lt;p&gt;&lt;span class="fw-bold"&gt;Ejemplos&lt;/span&gt;:&lt;/p&gt;</v>
      </c>
      <c r="I72" s="34"/>
      <c r="J72" s="25" t="s">
        <v>2</v>
      </c>
      <c r="Q72" s="36"/>
      <c r="R72" s="28"/>
    </row>
    <row r="73" s="25" customFormat="1" spans="1:18">
      <c r="A73" s="27" t="str">
        <f t="shared" si="28"/>
        <v>&lt;p&gt;&lt;span class="fw-bold"&gt;</v>
      </c>
      <c r="B73" s="27" t="str">
        <f t="shared" si="29"/>
        <v>Salida Básica</v>
      </c>
      <c r="C73" s="27" t="str">
        <f t="shared" si="30"/>
        <v>&lt;/span&gt;</v>
      </c>
      <c r="D73" s="27" t="str">
        <f t="shared" si="31"/>
        <v/>
      </c>
      <c r="E73" s="27" t="str">
        <f t="shared" si="32"/>
        <v>&lt;/p&gt;</v>
      </c>
      <c r="F73" s="27"/>
      <c r="G73" s="33" t="s">
        <v>242</v>
      </c>
      <c r="H73" s="34" t="str">
        <f t="shared" si="33"/>
        <v>&lt;p&gt;&lt;span class="fw-bold"&gt;Salida Básica&lt;/span&gt;:&lt;/p&gt;</v>
      </c>
      <c r="I73" s="34"/>
      <c r="J73" s="25" t="s">
        <v>2</v>
      </c>
      <c r="Q73" s="36"/>
      <c r="R73" s="28"/>
    </row>
    <row r="74" s="25" customFormat="1" spans="1:18">
      <c r="A74" s="27" t="str">
        <f t="shared" si="28"/>
        <v/>
      </c>
      <c r="B74" s="27" t="str">
        <f t="shared" si="29"/>
        <v/>
      </c>
      <c r="C74" s="27" t="str">
        <f t="shared" si="30"/>
        <v/>
      </c>
      <c r="D74" s="27" t="str">
        <f t="shared" si="31"/>
        <v/>
      </c>
      <c r="E74" s="27" t="str">
        <f t="shared" si="32"/>
        <v/>
      </c>
      <c r="F74" s="27"/>
      <c r="G74" s="33"/>
      <c r="H74" s="34" t="str">
        <f t="shared" si="33"/>
        <v/>
      </c>
      <c r="I74" s="34"/>
      <c r="J74" s="25" t="s">
        <v>2</v>
      </c>
      <c r="Q74" s="36"/>
      <c r="R74" s="28"/>
    </row>
    <row r="75" s="25" customFormat="1" spans="1:18">
      <c r="A75" s="27" t="str">
        <f t="shared" si="28"/>
        <v/>
      </c>
      <c r="B75" s="27" t="str">
        <f t="shared" si="29"/>
        <v/>
      </c>
      <c r="C75" s="27" t="str">
        <f t="shared" si="30"/>
        <v/>
      </c>
      <c r="D75" s="27" t="str">
        <f t="shared" si="31"/>
        <v/>
      </c>
      <c r="E75" s="27" t="str">
        <f t="shared" si="32"/>
        <v/>
      </c>
      <c r="F75" s="27"/>
      <c r="G75" s="33"/>
      <c r="H75" s="34" t="str">
        <f t="shared" si="33"/>
        <v/>
      </c>
      <c r="I75" s="34"/>
      <c r="J75" s="25" t="s">
        <v>2</v>
      </c>
      <c r="Q75" s="36"/>
      <c r="R75" s="28"/>
    </row>
    <row r="76" s="25" customFormat="1" spans="1:18">
      <c r="A76" s="27" t="str">
        <f t="shared" si="28"/>
        <v/>
      </c>
      <c r="B76" s="27" t="str">
        <f t="shared" si="29"/>
        <v/>
      </c>
      <c r="C76" s="27" t="str">
        <f t="shared" si="30"/>
        <v/>
      </c>
      <c r="D76" s="27" t="str">
        <f t="shared" si="31"/>
        <v/>
      </c>
      <c r="E76" s="27" t="str">
        <f t="shared" si="32"/>
        <v/>
      </c>
      <c r="F76" s="27"/>
      <c r="G76" s="33"/>
      <c r="H76" s="34" t="str">
        <f t="shared" si="33"/>
        <v/>
      </c>
      <c r="I76" s="34"/>
      <c r="J76" s="25" t="s">
        <v>2</v>
      </c>
      <c r="Q76" s="36"/>
      <c r="R76" s="28"/>
    </row>
    <row r="77" s="25" customFormat="1" spans="1:18">
      <c r="A77" s="27" t="str">
        <f t="shared" si="28"/>
        <v/>
      </c>
      <c r="B77" s="27" t="str">
        <f t="shared" si="29"/>
        <v/>
      </c>
      <c r="C77" s="27" t="str">
        <f t="shared" si="30"/>
        <v/>
      </c>
      <c r="D77" s="27" t="str">
        <f t="shared" si="31"/>
        <v/>
      </c>
      <c r="E77" s="27" t="str">
        <f t="shared" si="32"/>
        <v/>
      </c>
      <c r="F77" s="27"/>
      <c r="G77" s="33"/>
      <c r="H77" s="34" t="str">
        <f t="shared" si="33"/>
        <v/>
      </c>
      <c r="I77" s="34"/>
      <c r="J77" s="25" t="s">
        <v>2</v>
      </c>
      <c r="Q77" s="36"/>
      <c r="R77" s="28"/>
    </row>
    <row r="78" s="25" customFormat="1" spans="1:18">
      <c r="A78" s="27" t="str">
        <f t="shared" si="28"/>
        <v/>
      </c>
      <c r="B78" s="27" t="str">
        <f t="shared" si="29"/>
        <v/>
      </c>
      <c r="C78" s="27" t="str">
        <f t="shared" si="30"/>
        <v/>
      </c>
      <c r="D78" s="27" t="str">
        <f t="shared" si="31"/>
        <v/>
      </c>
      <c r="E78" s="27" t="str">
        <f t="shared" si="32"/>
        <v/>
      </c>
      <c r="F78" s="27"/>
      <c r="G78" s="33"/>
      <c r="H78" s="34" t="str">
        <f t="shared" si="33"/>
        <v/>
      </c>
      <c r="I78" s="34"/>
      <c r="J78" s="25" t="s">
        <v>2</v>
      </c>
      <c r="Q78" s="36"/>
      <c r="R78" s="28"/>
    </row>
    <row r="79" s="25" customFormat="1" spans="1:18">
      <c r="A79" s="27" t="str">
        <f t="shared" si="28"/>
        <v/>
      </c>
      <c r="B79" s="27" t="str">
        <f t="shared" si="29"/>
        <v/>
      </c>
      <c r="C79" s="27" t="str">
        <f t="shared" si="30"/>
        <v/>
      </c>
      <c r="D79" s="27" t="str">
        <f t="shared" si="31"/>
        <v/>
      </c>
      <c r="E79" s="27" t="str">
        <f t="shared" si="32"/>
        <v/>
      </c>
      <c r="F79" s="27"/>
      <c r="G79" s="33"/>
      <c r="H79" s="34" t="str">
        <f t="shared" si="33"/>
        <v/>
      </c>
      <c r="I79" s="34"/>
      <c r="J79" s="25" t="s">
        <v>2</v>
      </c>
      <c r="Q79" s="36"/>
      <c r="R79" s="28"/>
    </row>
    <row r="80" s="25" customFormat="1" spans="1:18">
      <c r="A80" s="27" t="str">
        <f t="shared" si="28"/>
        <v/>
      </c>
      <c r="B80" s="27" t="str">
        <f t="shared" si="29"/>
        <v/>
      </c>
      <c r="C80" s="27" t="str">
        <f t="shared" si="30"/>
        <v/>
      </c>
      <c r="D80" s="27" t="str">
        <f t="shared" si="31"/>
        <v/>
      </c>
      <c r="E80" s="27" t="str">
        <f t="shared" si="32"/>
        <v/>
      </c>
      <c r="F80" s="27"/>
      <c r="G80" s="33"/>
      <c r="H80" s="34" t="str">
        <f t="shared" si="33"/>
        <v/>
      </c>
      <c r="I80" s="34"/>
      <c r="J80" s="25" t="s">
        <v>2</v>
      </c>
      <c r="Q80" s="36"/>
      <c r="R80" s="28"/>
    </row>
    <row r="81" s="25" customFormat="1" spans="1:18">
      <c r="A81" s="27" t="str">
        <f t="shared" si="28"/>
        <v/>
      </c>
      <c r="B81" s="27" t="str">
        <f t="shared" si="29"/>
        <v/>
      </c>
      <c r="C81" s="27" t="str">
        <f t="shared" si="30"/>
        <v/>
      </c>
      <c r="D81" s="27" t="str">
        <f t="shared" si="31"/>
        <v/>
      </c>
      <c r="E81" s="27" t="str">
        <f t="shared" si="32"/>
        <v/>
      </c>
      <c r="F81" s="27"/>
      <c r="G81" s="33"/>
      <c r="H81" s="34" t="str">
        <f t="shared" si="33"/>
        <v/>
      </c>
      <c r="I81" s="34"/>
      <c r="J81" s="25" t="s">
        <v>2</v>
      </c>
      <c r="Q81" s="36"/>
      <c r="R81" s="28"/>
    </row>
    <row r="82" s="25" customFormat="1" spans="1:18">
      <c r="A82" s="27" t="str">
        <f t="shared" si="28"/>
        <v/>
      </c>
      <c r="B82" s="27" t="str">
        <f t="shared" si="29"/>
        <v/>
      </c>
      <c r="C82" s="27" t="str">
        <f t="shared" si="30"/>
        <v/>
      </c>
      <c r="D82" s="27" t="str">
        <f t="shared" si="31"/>
        <v/>
      </c>
      <c r="E82" s="27" t="str">
        <f t="shared" si="32"/>
        <v/>
      </c>
      <c r="F82" s="27"/>
      <c r="G82" s="33"/>
      <c r="H82" s="34" t="str">
        <f t="shared" si="33"/>
        <v/>
      </c>
      <c r="I82" s="34"/>
      <c r="J82" s="25" t="s">
        <v>2</v>
      </c>
      <c r="Q82" s="36"/>
      <c r="R82" s="28"/>
    </row>
    <row r="83" s="25" customFormat="1" spans="1:18">
      <c r="A83" s="27" t="str">
        <f t="shared" si="28"/>
        <v/>
      </c>
      <c r="B83" s="27" t="str">
        <f t="shared" si="29"/>
        <v/>
      </c>
      <c r="C83" s="27" t="str">
        <f t="shared" si="30"/>
        <v/>
      </c>
      <c r="D83" s="27" t="str">
        <f t="shared" si="31"/>
        <v/>
      </c>
      <c r="E83" s="27" t="str">
        <f t="shared" si="32"/>
        <v/>
      </c>
      <c r="F83" s="27"/>
      <c r="G83" s="33"/>
      <c r="H83" s="34" t="str">
        <f t="shared" si="33"/>
        <v/>
      </c>
      <c r="I83" s="34"/>
      <c r="J83" s="25" t="s">
        <v>2</v>
      </c>
      <c r="Q83" s="36"/>
      <c r="R83" s="28"/>
    </row>
    <row r="84" s="25" customFormat="1" spans="1:18">
      <c r="A84" s="27" t="str">
        <f t="shared" si="28"/>
        <v/>
      </c>
      <c r="B84" s="27" t="str">
        <f t="shared" si="29"/>
        <v/>
      </c>
      <c r="C84" s="27" t="str">
        <f t="shared" si="30"/>
        <v/>
      </c>
      <c r="D84" s="27" t="str">
        <f t="shared" si="31"/>
        <v/>
      </c>
      <c r="E84" s="27" t="str">
        <f t="shared" si="32"/>
        <v/>
      </c>
      <c r="F84" s="27"/>
      <c r="G84" s="33"/>
      <c r="H84" s="34" t="str">
        <f t="shared" si="33"/>
        <v/>
      </c>
      <c r="I84" s="34"/>
      <c r="J84" s="25" t="s">
        <v>2</v>
      </c>
      <c r="Q84" s="36"/>
      <c r="R84" s="28"/>
    </row>
    <row r="85" s="25" customFormat="1" spans="1:18">
      <c r="A85" s="27" t="str">
        <f t="shared" si="28"/>
        <v/>
      </c>
      <c r="B85" s="27" t="str">
        <f t="shared" si="29"/>
        <v/>
      </c>
      <c r="C85" s="27" t="str">
        <f t="shared" si="30"/>
        <v/>
      </c>
      <c r="D85" s="27" t="str">
        <f t="shared" si="31"/>
        <v/>
      </c>
      <c r="E85" s="27" t="str">
        <f t="shared" si="32"/>
        <v/>
      </c>
      <c r="F85" s="27"/>
      <c r="G85" s="33"/>
      <c r="H85" s="34" t="str">
        <f t="shared" si="33"/>
        <v/>
      </c>
      <c r="I85" s="34"/>
      <c r="J85" s="25" t="s">
        <v>2</v>
      </c>
      <c r="Q85" s="36"/>
      <c r="R85" s="28"/>
    </row>
    <row r="86" s="25" customFormat="1" spans="1:18">
      <c r="A86" s="27" t="str">
        <f t="shared" si="28"/>
        <v/>
      </c>
      <c r="B86" s="27" t="str">
        <f t="shared" si="29"/>
        <v/>
      </c>
      <c r="C86" s="27" t="str">
        <f t="shared" si="30"/>
        <v/>
      </c>
      <c r="D86" s="27" t="str">
        <f t="shared" si="31"/>
        <v/>
      </c>
      <c r="E86" s="27" t="str">
        <f t="shared" si="32"/>
        <v/>
      </c>
      <c r="F86" s="27"/>
      <c r="G86" s="33"/>
      <c r="H86" s="34" t="str">
        <f t="shared" si="33"/>
        <v/>
      </c>
      <c r="I86" s="34"/>
      <c r="J86" s="25" t="s">
        <v>2</v>
      </c>
      <c r="Q86" s="36"/>
      <c r="R86" s="28"/>
    </row>
    <row r="87" s="25" customFormat="1" spans="1:18">
      <c r="A87" s="27" t="str">
        <f t="shared" si="28"/>
        <v/>
      </c>
      <c r="B87" s="27" t="str">
        <f t="shared" si="29"/>
        <v/>
      </c>
      <c r="C87" s="27" t="str">
        <f t="shared" si="30"/>
        <v/>
      </c>
      <c r="D87" s="27" t="str">
        <f t="shared" si="31"/>
        <v/>
      </c>
      <c r="E87" s="27" t="str">
        <f t="shared" si="32"/>
        <v/>
      </c>
      <c r="F87" s="27"/>
      <c r="G87" s="33"/>
      <c r="H87" s="34" t="str">
        <f t="shared" si="33"/>
        <v/>
      </c>
      <c r="I87" s="34"/>
      <c r="J87" s="25" t="s">
        <v>2</v>
      </c>
      <c r="Q87" s="36"/>
      <c r="R87" s="28"/>
    </row>
    <row r="88" s="25" customFormat="1" ht="14.55" spans="1:18">
      <c r="A88" s="38" t="str">
        <f t="shared" si="28"/>
        <v/>
      </c>
      <c r="B88" s="38" t="str">
        <f t="shared" si="29"/>
        <v/>
      </c>
      <c r="C88" s="38" t="str">
        <f t="shared" si="30"/>
        <v/>
      </c>
      <c r="D88" s="38" t="str">
        <f t="shared" si="31"/>
        <v/>
      </c>
      <c r="E88" s="38" t="str">
        <f t="shared" si="32"/>
        <v/>
      </c>
      <c r="F88" s="30"/>
      <c r="G88" s="33"/>
      <c r="H88" s="34" t="str">
        <f t="shared" si="33"/>
        <v/>
      </c>
      <c r="I88" s="34"/>
      <c r="J88" s="25" t="s">
        <v>2</v>
      </c>
      <c r="Q88" s="39"/>
      <c r="R88" s="28"/>
    </row>
    <row r="89" s="25" customFormat="1" spans="1:18">
      <c r="A89" s="27"/>
      <c r="B89" s="27"/>
      <c r="C89" s="27"/>
      <c r="D89" s="27"/>
      <c r="E89" s="27"/>
      <c r="F89" s="27"/>
      <c r="Q89" s="36"/>
      <c r="R89" s="28"/>
    </row>
    <row r="90" s="25" customFormat="1" ht="14.55" spans="1:18">
      <c r="A90" s="26"/>
      <c r="B90" s="26"/>
      <c r="C90" s="26"/>
      <c r="D90" s="26"/>
      <c r="E90" s="26"/>
      <c r="F90" s="26"/>
      <c r="G90"/>
      <c r="H90" t="s">
        <v>243</v>
      </c>
      <c r="I90" s="25"/>
      <c r="Q90" s="36"/>
      <c r="R90" s="28"/>
    </row>
    <row r="91" s="25" customFormat="1" ht="13" customHeight="1" spans="1:18">
      <c r="A91" s="42" t="str">
        <f t="shared" ref="A91:A102" si="34">IF(G91&lt;&gt;"","&lt;p&gt;","")</f>
        <v>&lt;p&gt;</v>
      </c>
      <c r="B91" s="43" t="str">
        <f t="shared" ref="B91:B102" si="35">IF(G91&lt;&gt;"",CONCATENATE(A91,G91,C91),"")</f>
        <v>&lt;p&gt;Claude Cowork puede entenderse como una evolución del asistente de IA tradicional hacia una herramienta capaz de participar de forma más activa en el trabajo. No se limita a responder preguntas: puede planificar una tarea, realizar varios pasos y entregar un resultado utilizando los archivos y herramientas con los que ya trabaja el usuario. </v>
      </c>
      <c r="C91" s="43" t="s">
        <v>2</v>
      </c>
      <c r="D91" s="43"/>
      <c r="E91" s="43" t="str">
        <f t="shared" ref="E91:E102" si="36">IF(G91&lt;&gt;"","&lt;/p&gt;","")</f>
        <v>&lt;/p&gt;</v>
      </c>
      <c r="F91" s="30"/>
      <c r="G91" s="47" t="s">
        <v>244</v>
      </c>
      <c r="H91" s="34" t="str">
        <f t="shared" ref="H91:H102" si="37">CONCATENATE(A91,G91,E91)</f>
        <v>&lt;p&gt;Claude Cowork puede entenderse como una evolución del asistente de IA tradicional hacia una herramienta capaz de participar de forma más activa en el trabajo. No se limita a responder preguntas: puede planificar una tarea, realizar varios pasos y entregar un resultado utilizando los archivos y herramientas con los que ya trabaja el usuario.&lt;/p&gt;</v>
      </c>
      <c r="I91" s="34"/>
      <c r="Q91" s="36"/>
      <c r="R91" s="28"/>
    </row>
    <row r="92" s="25" customFormat="1" spans="1:18">
      <c r="A92" s="29" t="str">
        <f t="shared" si="34"/>
        <v>&lt;p&gt;</v>
      </c>
      <c r="B92" s="30" t="str">
        <f t="shared" si="35"/>
        <v>&lt;p&gt;Una de sus principales ventajas es que permite automatizar tareas que normalmente requieren varias acciones, manteniendo al mismo tiempo la posibilidad de que una persona supervise el proceso. Además, funciones como la memoria compartida y la gestión detallada de permisos facilitan su uso dentro de equipos y organizaciones. </v>
      </c>
      <c r="C92" s="30" t="s">
        <v>2</v>
      </c>
      <c r="D92" s="30"/>
      <c r="E92" s="30" t="str">
        <f t="shared" si="36"/>
        <v>&lt;/p&gt;</v>
      </c>
      <c r="F92" s="30"/>
      <c r="G92" s="33" t="s">
        <v>245</v>
      </c>
      <c r="H92" s="34" t="str">
        <f t="shared" si="37"/>
        <v>&lt;p&gt;Una de sus principales ventajas es que permite automatizar tareas que normalmente requieren varias acciones, manteniendo al mismo tiempo la posibilidad de que una persona supervise el proceso. Además, funciones como la memoria compartida y la gestión detallada de permisos facilitan su uso dentro de equipos y organizaciones.&lt;/p&gt;</v>
      </c>
      <c r="I92" s="34"/>
      <c r="Q92" s="36"/>
      <c r="R92" s="28"/>
    </row>
    <row r="93" s="25" customFormat="1" spans="1:18">
      <c r="A93" s="29" t="str">
        <f t="shared" si="34"/>
        <v>&lt;p&gt;</v>
      </c>
      <c r="B93" s="30" t="str">
        <f t="shared" si="35"/>
        <v>&lt;p&gt;En la práctica, esto significa que Claude Cowork puede ayudar a los equipos a delegar tareas repetitivas o procesos que requieren varios pasos, mientras las personas mantienen el control sobre lo que la IA puede hacer y sobre los resultados que produce. </v>
      </c>
      <c r="C93" s="30" t="s">
        <v>2</v>
      </c>
      <c r="D93" s="30"/>
      <c r="E93" s="30" t="str">
        <f t="shared" si="36"/>
        <v>&lt;/p&gt;</v>
      </c>
      <c r="F93" s="30"/>
      <c r="G93" s="33" t="s">
        <v>246</v>
      </c>
      <c r="H93" s="34" t="str">
        <f t="shared" si="37"/>
        <v>&lt;p&gt;En la práctica, esto significa que Claude Cowork puede ayudar a los equipos a delegar tareas repetitivas o procesos que requieren varios pasos, mientras las personas mantienen el control sobre lo que la IA puede hacer y sobre los resultados que produce.&lt;/p&gt;</v>
      </c>
      <c r="I93" s="34"/>
      <c r="Q93" s="36"/>
      <c r="R93" s="28"/>
    </row>
    <row r="94" s="25" customFormat="1" spans="1:18">
      <c r="A94" s="29" t="str">
        <f t="shared" si="34"/>
        <v/>
      </c>
      <c r="B94" s="30" t="str">
        <f t="shared" si="35"/>
        <v/>
      </c>
      <c r="C94" s="30" t="s">
        <v>2</v>
      </c>
      <c r="D94" s="30"/>
      <c r="E94" s="30" t="str">
        <f t="shared" si="36"/>
        <v/>
      </c>
      <c r="F94" s="30"/>
      <c r="G94" s="33"/>
      <c r="H94" s="34" t="str">
        <f t="shared" si="37"/>
        <v/>
      </c>
      <c r="I94" s="34"/>
      <c r="Q94" s="36"/>
      <c r="R94" s="28"/>
    </row>
    <row r="95" s="25" customFormat="1" spans="1:18">
      <c r="A95" s="29" t="str">
        <f t="shared" si="34"/>
        <v/>
      </c>
      <c r="B95" s="30" t="str">
        <f t="shared" si="35"/>
        <v/>
      </c>
      <c r="C95" s="30" t="s">
        <v>2</v>
      </c>
      <c r="D95" s="30"/>
      <c r="E95" s="30" t="str">
        <f t="shared" si="36"/>
        <v/>
      </c>
      <c r="F95" s="30"/>
      <c r="G95" s="33"/>
      <c r="H95" s="34" t="str">
        <f t="shared" si="37"/>
        <v/>
      </c>
      <c r="I95" s="34"/>
      <c r="Q95" s="36"/>
      <c r="R95" s="28"/>
    </row>
    <row r="96" s="25" customFormat="1" spans="1:18">
      <c r="A96" s="29" t="str">
        <f t="shared" si="34"/>
        <v/>
      </c>
      <c r="B96" s="30" t="str">
        <f t="shared" si="35"/>
        <v/>
      </c>
      <c r="C96" s="30" t="s">
        <v>2</v>
      </c>
      <c r="D96" s="30"/>
      <c r="E96" s="30" t="str">
        <f t="shared" si="36"/>
        <v/>
      </c>
      <c r="F96" s="30"/>
      <c r="G96" s="33"/>
      <c r="H96" s="34" t="str">
        <f t="shared" si="37"/>
        <v/>
      </c>
      <c r="I96" s="34"/>
      <c r="Q96" s="36"/>
      <c r="R96" s="28"/>
    </row>
    <row r="97" s="25" customFormat="1" spans="1:18">
      <c r="A97" s="29" t="str">
        <f t="shared" si="34"/>
        <v/>
      </c>
      <c r="B97" s="30" t="str">
        <f t="shared" si="35"/>
        <v/>
      </c>
      <c r="C97" s="30" t="s">
        <v>2</v>
      </c>
      <c r="D97" s="30"/>
      <c r="E97" s="30" t="str">
        <f t="shared" si="36"/>
        <v/>
      </c>
      <c r="F97" s="30"/>
      <c r="G97" s="33"/>
      <c r="H97" s="34" t="str">
        <f t="shared" si="37"/>
        <v/>
      </c>
      <c r="I97" s="34"/>
      <c r="Q97" s="36"/>
      <c r="R97" s="28"/>
    </row>
    <row r="98" s="25" customFormat="1" spans="1:18">
      <c r="A98" s="29" t="str">
        <f t="shared" si="34"/>
        <v/>
      </c>
      <c r="B98" s="30" t="str">
        <f t="shared" si="35"/>
        <v/>
      </c>
      <c r="C98" s="30" t="s">
        <v>2</v>
      </c>
      <c r="D98" s="30"/>
      <c r="E98" s="30" t="str">
        <f t="shared" si="36"/>
        <v/>
      </c>
      <c r="F98" s="30"/>
      <c r="G98" s="33"/>
      <c r="H98" s="34" t="str">
        <f t="shared" si="37"/>
        <v/>
      </c>
      <c r="I98" s="34"/>
      <c r="Q98" s="36"/>
      <c r="R98" s="28"/>
    </row>
    <row r="99" s="25" customFormat="1" spans="1:18">
      <c r="A99" s="29" t="str">
        <f t="shared" si="34"/>
        <v/>
      </c>
      <c r="B99" s="30" t="str">
        <f t="shared" si="35"/>
        <v/>
      </c>
      <c r="C99" s="30" t="s">
        <v>2</v>
      </c>
      <c r="D99" s="30"/>
      <c r="E99" s="30" t="str">
        <f t="shared" si="36"/>
        <v/>
      </c>
      <c r="F99" s="30"/>
      <c r="G99" s="33"/>
      <c r="H99" s="34" t="str">
        <f t="shared" si="37"/>
        <v/>
      </c>
      <c r="I99" s="34"/>
      <c r="Q99" s="36"/>
      <c r="R99" s="28"/>
    </row>
    <row r="100" s="25" customFormat="1" spans="1:18">
      <c r="A100" s="29" t="str">
        <f t="shared" si="34"/>
        <v/>
      </c>
      <c r="B100" s="30" t="str">
        <f t="shared" si="35"/>
        <v/>
      </c>
      <c r="C100" s="30" t="s">
        <v>2</v>
      </c>
      <c r="D100" s="30"/>
      <c r="E100" s="30" t="str">
        <f t="shared" si="36"/>
        <v/>
      </c>
      <c r="F100" s="30"/>
      <c r="G100" s="33"/>
      <c r="H100" s="34" t="str">
        <f t="shared" si="37"/>
        <v/>
      </c>
      <c r="I100" s="34"/>
      <c r="Q100" s="36"/>
      <c r="R100" s="28"/>
    </row>
    <row r="101" s="25" customFormat="1" spans="1:18">
      <c r="A101" s="29" t="str">
        <f t="shared" si="34"/>
        <v/>
      </c>
      <c r="B101" s="30" t="str">
        <f t="shared" si="35"/>
        <v/>
      </c>
      <c r="C101" s="30" t="s">
        <v>33</v>
      </c>
      <c r="D101" s="30"/>
      <c r="E101" s="30" t="str">
        <f t="shared" si="36"/>
        <v/>
      </c>
      <c r="F101" s="30"/>
      <c r="G101" s="33"/>
      <c r="H101" s="34" t="str">
        <f t="shared" si="37"/>
        <v/>
      </c>
      <c r="I101" s="34"/>
      <c r="Q101" s="36"/>
      <c r="R101" s="28"/>
    </row>
    <row r="102" s="25" customFormat="1" ht="14.55" spans="1:18">
      <c r="A102" s="44" t="str">
        <f t="shared" si="34"/>
        <v/>
      </c>
      <c r="B102" s="38" t="str">
        <f t="shared" si="35"/>
        <v/>
      </c>
      <c r="C102" s="38" t="s">
        <v>2</v>
      </c>
      <c r="D102" s="38"/>
      <c r="E102" s="38" t="str">
        <f t="shared" si="36"/>
        <v/>
      </c>
      <c r="F102" s="30"/>
      <c r="G102" s="33"/>
      <c r="H102" s="34" t="str">
        <f t="shared" si="37"/>
        <v/>
      </c>
      <c r="I102" s="34"/>
      <c r="Q102" s="36"/>
      <c r="R102" s="28"/>
    </row>
    <row r="104" customFormat="1" spans="1:18">
      <c r="A104" s="26"/>
      <c r="B104" s="26"/>
      <c r="C104" s="26"/>
      <c r="D104" s="26"/>
      <c r="E104" s="26"/>
      <c r="F104" s="26"/>
      <c r="G104" s="25"/>
      <c r="I104" s="25"/>
    </row>
    <row r="105" customFormat="1" spans="1:18">
      <c r="A105" s="29"/>
      <c r="B105" s="30"/>
      <c r="C105" s="30"/>
      <c r="D105" s="30"/>
      <c r="E105" s="30"/>
      <c r="F105" s="27"/>
      <c r="H105" s="25" t="s">
        <v>247</v>
      </c>
      <c r="I105" s="32"/>
    </row>
    <row r="106" customFormat="1" spans="1:18">
      <c r="A106" s="27" t="str">
        <f t="shared" ref="A106:A122" si="38">IF(G106&lt;&gt;"",CONCATENATE("&lt;p&gt;",$G$49),"")</f>
        <v>&lt;p&gt;</v>
      </c>
      <c r="B106" s="27" t="str">
        <f t="shared" ref="B106:B122" si="39">IF(G106&lt;&gt;"",LEFT(G106,FIND(":",G106,1)-1),"")</f>
        <v>Importante</v>
      </c>
      <c r="C106" s="27" t="str">
        <f t="shared" ref="C106:C122" si="40">IF(G106&lt;&gt;"","&lt;/code&gt;","")</f>
        <v>&lt;/code&gt;</v>
      </c>
      <c r="D106" s="27" t="str">
        <f t="shared" ref="D106:D122" si="41">IF(G106&lt;&gt;"",RIGHT(G106,LEN(G106)-FIND(":",G106,1)),"")</f>
        <v> La etiqueta &lt;cite&gt; NO se usa para:</v>
      </c>
      <c r="E106" s="27" t="str">
        <f t="shared" ref="E106:E122" si="42">IF(G106&lt;&gt;"","&lt;/p&gt;","")</f>
        <v>&lt;/p&gt;</v>
      </c>
      <c r="F106" s="27"/>
      <c r="G106" s="33" t="s">
        <v>248</v>
      </c>
      <c r="H106" s="34" t="str">
        <f t="shared" ref="H106:H122" si="43">IF(G106&lt;&gt;"",CONCATENATE(A106,B106,C106,":",D106,E106),"")</f>
        <v>&lt;p&gt;Importante&lt;/code&gt;: La etiqueta &lt;cite&gt; NO se usa para:&lt;/p&gt;</v>
      </c>
      <c r="I106" s="28"/>
    </row>
    <row r="107" customFormat="1" spans="1:18">
      <c r="A107" s="27" t="str">
        <f t="shared" si="38"/>
        <v/>
      </c>
      <c r="B107" s="27" t="str">
        <f t="shared" si="39"/>
        <v/>
      </c>
      <c r="C107" s="27" t="str">
        <f t="shared" si="40"/>
        <v/>
      </c>
      <c r="D107" s="27" t="str">
        <f t="shared" si="41"/>
        <v/>
      </c>
      <c r="E107" s="27" t="str">
        <f t="shared" si="42"/>
        <v/>
      </c>
      <c r="F107" s="27"/>
      <c r="G107" s="33"/>
      <c r="H107" s="34" t="str">
        <f t="shared" si="43"/>
        <v/>
      </c>
      <c r="I107" s="28"/>
    </row>
    <row r="108" customFormat="1" spans="1:18">
      <c r="A108" s="27" t="str">
        <f t="shared" si="38"/>
        <v/>
      </c>
      <c r="B108" s="27" t="str">
        <f t="shared" si="39"/>
        <v/>
      </c>
      <c r="C108" s="27" t="str">
        <f t="shared" si="40"/>
        <v/>
      </c>
      <c r="D108" s="27" t="str">
        <f t="shared" si="41"/>
        <v/>
      </c>
      <c r="E108" s="27" t="str">
        <f t="shared" si="42"/>
        <v/>
      </c>
      <c r="F108" s="27"/>
      <c r="G108" s="33"/>
      <c r="H108" s="34" t="str">
        <f t="shared" si="43"/>
        <v/>
      </c>
      <c r="I108" s="28"/>
    </row>
    <row r="109" customFormat="1" spans="1:18">
      <c r="A109" s="27" t="str">
        <f t="shared" si="38"/>
        <v/>
      </c>
      <c r="B109" s="27" t="str">
        <f t="shared" si="39"/>
        <v/>
      </c>
      <c r="C109" s="27" t="str">
        <f t="shared" si="40"/>
        <v/>
      </c>
      <c r="D109" s="27" t="str">
        <f t="shared" si="41"/>
        <v/>
      </c>
      <c r="E109" s="27" t="str">
        <f t="shared" si="42"/>
        <v/>
      </c>
      <c r="F109" s="27"/>
      <c r="G109" s="33"/>
      <c r="H109" s="34" t="str">
        <f t="shared" si="43"/>
        <v/>
      </c>
      <c r="I109" s="28"/>
    </row>
    <row r="110" customFormat="1" spans="1:18">
      <c r="A110" s="27" t="str">
        <f t="shared" si="38"/>
        <v/>
      </c>
      <c r="B110" s="27" t="str">
        <f t="shared" si="39"/>
        <v/>
      </c>
      <c r="C110" s="27" t="str">
        <f t="shared" si="40"/>
        <v/>
      </c>
      <c r="D110" s="27" t="str">
        <f t="shared" si="41"/>
        <v/>
      </c>
      <c r="E110" s="27" t="str">
        <f t="shared" si="42"/>
        <v/>
      </c>
      <c r="F110" s="27"/>
      <c r="G110" s="33"/>
      <c r="H110" s="34" t="str">
        <f t="shared" si="43"/>
        <v/>
      </c>
      <c r="I110" s="28"/>
    </row>
    <row r="111" customFormat="1" spans="1:18">
      <c r="A111" s="27" t="str">
        <f t="shared" si="38"/>
        <v/>
      </c>
      <c r="B111" s="27" t="str">
        <f t="shared" si="39"/>
        <v/>
      </c>
      <c r="C111" s="27" t="str">
        <f t="shared" si="40"/>
        <v/>
      </c>
      <c r="D111" s="27" t="str">
        <f t="shared" si="41"/>
        <v/>
      </c>
      <c r="E111" s="27" t="str">
        <f t="shared" si="42"/>
        <v/>
      </c>
      <c r="F111" s="27"/>
      <c r="G111" s="33"/>
      <c r="H111" s="34" t="str">
        <f t="shared" si="43"/>
        <v/>
      </c>
      <c r="I111" s="28"/>
    </row>
    <row r="112" customFormat="1" spans="1:18">
      <c r="A112" s="27" t="str">
        <f t="shared" si="38"/>
        <v/>
      </c>
      <c r="B112" s="27" t="str">
        <f t="shared" si="39"/>
        <v/>
      </c>
      <c r="C112" s="27" t="str">
        <f t="shared" si="40"/>
        <v/>
      </c>
      <c r="D112" s="27" t="str">
        <f t="shared" si="41"/>
        <v/>
      </c>
      <c r="E112" s="27" t="str">
        <f t="shared" si="42"/>
        <v/>
      </c>
      <c r="F112" s="27"/>
      <c r="G112" s="33"/>
      <c r="H112" s="34" t="str">
        <f t="shared" si="43"/>
        <v/>
      </c>
      <c r="I112" s="28"/>
    </row>
    <row r="113" customFormat="1" spans="1:9">
      <c r="A113" s="27" t="str">
        <f t="shared" si="38"/>
        <v/>
      </c>
      <c r="B113" s="27" t="str">
        <f t="shared" si="39"/>
        <v/>
      </c>
      <c r="C113" s="27" t="str">
        <f t="shared" si="40"/>
        <v/>
      </c>
      <c r="D113" s="27" t="str">
        <f t="shared" si="41"/>
        <v/>
      </c>
      <c r="E113" s="27" t="str">
        <f t="shared" si="42"/>
        <v/>
      </c>
      <c r="F113" s="27"/>
      <c r="G113" s="33"/>
      <c r="H113" s="34" t="str">
        <f t="shared" si="43"/>
        <v/>
      </c>
      <c r="I113" s="28"/>
    </row>
    <row r="114" customFormat="1" spans="1:9">
      <c r="A114" s="27" t="str">
        <f t="shared" si="38"/>
        <v/>
      </c>
      <c r="B114" s="27" t="str">
        <f t="shared" si="39"/>
        <v/>
      </c>
      <c r="C114" s="27" t="str">
        <f t="shared" si="40"/>
        <v/>
      </c>
      <c r="D114" s="27" t="str">
        <f t="shared" si="41"/>
        <v/>
      </c>
      <c r="E114" s="27" t="str">
        <f t="shared" si="42"/>
        <v/>
      </c>
      <c r="F114" s="27"/>
      <c r="G114" s="33"/>
      <c r="H114" s="34" t="str">
        <f t="shared" si="43"/>
        <v/>
      </c>
      <c r="I114" s="28"/>
    </row>
    <row r="115" customFormat="1" spans="1:9">
      <c r="A115" s="27" t="str">
        <f t="shared" si="38"/>
        <v/>
      </c>
      <c r="B115" s="27" t="str">
        <f t="shared" si="39"/>
        <v/>
      </c>
      <c r="C115" s="27" t="str">
        <f t="shared" si="40"/>
        <v/>
      </c>
      <c r="D115" s="27" t="str">
        <f t="shared" si="41"/>
        <v/>
      </c>
      <c r="E115" s="27" t="str">
        <f t="shared" si="42"/>
        <v/>
      </c>
      <c r="F115" s="27"/>
      <c r="G115" s="33"/>
      <c r="H115" s="34" t="str">
        <f t="shared" si="43"/>
        <v/>
      </c>
      <c r="I115" s="28"/>
    </row>
    <row r="116" customFormat="1" spans="1:9">
      <c r="A116" s="27" t="str">
        <f t="shared" si="38"/>
        <v/>
      </c>
      <c r="B116" s="27" t="str">
        <f t="shared" si="39"/>
        <v/>
      </c>
      <c r="C116" s="27" t="str">
        <f t="shared" si="40"/>
        <v/>
      </c>
      <c r="D116" s="27" t="str">
        <f t="shared" si="41"/>
        <v/>
      </c>
      <c r="E116" s="27" t="str">
        <f t="shared" si="42"/>
        <v/>
      </c>
      <c r="F116" s="27"/>
      <c r="G116" s="33"/>
      <c r="H116" s="34" t="str">
        <f t="shared" si="43"/>
        <v/>
      </c>
      <c r="I116" s="28"/>
    </row>
    <row r="117" customFormat="1" spans="1:9">
      <c r="A117" s="27" t="str">
        <f t="shared" si="38"/>
        <v/>
      </c>
      <c r="B117" s="27" t="str">
        <f t="shared" si="39"/>
        <v/>
      </c>
      <c r="C117" s="27" t="str">
        <f t="shared" si="40"/>
        <v/>
      </c>
      <c r="D117" s="27" t="str">
        <f t="shared" si="41"/>
        <v/>
      </c>
      <c r="E117" s="27" t="str">
        <f t="shared" si="42"/>
        <v/>
      </c>
      <c r="F117" s="27"/>
      <c r="G117" s="33"/>
      <c r="H117" s="34" t="str">
        <f t="shared" si="43"/>
        <v/>
      </c>
      <c r="I117" s="28"/>
    </row>
    <row r="118" customFormat="1" spans="1:9">
      <c r="A118" s="27" t="str">
        <f t="shared" si="38"/>
        <v/>
      </c>
      <c r="B118" s="27" t="str">
        <f t="shared" si="39"/>
        <v/>
      </c>
      <c r="C118" s="27" t="str">
        <f t="shared" si="40"/>
        <v/>
      </c>
      <c r="D118" s="27" t="str">
        <f t="shared" si="41"/>
        <v/>
      </c>
      <c r="E118" s="27" t="str">
        <f t="shared" si="42"/>
        <v/>
      </c>
      <c r="F118" s="27"/>
      <c r="G118" s="33"/>
      <c r="H118" s="34" t="str">
        <f t="shared" si="43"/>
        <v/>
      </c>
      <c r="I118" s="28"/>
    </row>
    <row r="119" customFormat="1" spans="1:9">
      <c r="A119" s="27" t="str">
        <f t="shared" si="38"/>
        <v/>
      </c>
      <c r="B119" s="27" t="str">
        <f t="shared" si="39"/>
        <v/>
      </c>
      <c r="C119" s="27" t="str">
        <f t="shared" si="40"/>
        <v/>
      </c>
      <c r="D119" s="27" t="str">
        <f t="shared" si="41"/>
        <v/>
      </c>
      <c r="E119" s="27" t="str">
        <f t="shared" si="42"/>
        <v/>
      </c>
      <c r="F119" s="27"/>
      <c r="G119" s="33"/>
      <c r="H119" s="34" t="str">
        <f t="shared" si="43"/>
        <v/>
      </c>
      <c r="I119" s="28"/>
    </row>
    <row r="120" customFormat="1" spans="1:9">
      <c r="A120" s="27" t="str">
        <f t="shared" si="38"/>
        <v/>
      </c>
      <c r="B120" s="27" t="str">
        <f t="shared" si="39"/>
        <v/>
      </c>
      <c r="C120" s="27" t="str">
        <f t="shared" si="40"/>
        <v/>
      </c>
      <c r="D120" s="27" t="str">
        <f t="shared" si="41"/>
        <v/>
      </c>
      <c r="E120" s="27" t="str">
        <f t="shared" si="42"/>
        <v/>
      </c>
      <c r="F120" s="27"/>
      <c r="G120" s="33"/>
      <c r="H120" s="34" t="str">
        <f t="shared" si="43"/>
        <v/>
      </c>
      <c r="I120" s="28"/>
    </row>
    <row r="121" customFormat="1" spans="1:9">
      <c r="A121" s="27" t="str">
        <f t="shared" si="38"/>
        <v/>
      </c>
      <c r="B121" s="27" t="str">
        <f t="shared" si="39"/>
        <v/>
      </c>
      <c r="C121" s="27" t="str">
        <f t="shared" si="40"/>
        <v/>
      </c>
      <c r="D121" s="27" t="str">
        <f t="shared" si="41"/>
        <v/>
      </c>
      <c r="E121" s="27" t="str">
        <f t="shared" si="42"/>
        <v/>
      </c>
      <c r="F121" s="27"/>
      <c r="G121" s="33"/>
      <c r="H121" s="34" t="str">
        <f t="shared" si="43"/>
        <v/>
      </c>
      <c r="I121" s="28"/>
    </row>
    <row r="122" customFormat="1" spans="1:9">
      <c r="A122" s="27" t="str">
        <f t="shared" si="38"/>
        <v/>
      </c>
      <c r="B122" s="27" t="str">
        <f t="shared" si="39"/>
        <v/>
      </c>
      <c r="C122" s="27" t="str">
        <f t="shared" si="40"/>
        <v/>
      </c>
      <c r="D122" s="27" t="str">
        <f t="shared" si="41"/>
        <v/>
      </c>
      <c r="E122" s="27" t="str">
        <f t="shared" si="42"/>
        <v/>
      </c>
      <c r="F122" s="27"/>
      <c r="G122" s="33"/>
      <c r="H122" s="34" t="str">
        <f t="shared" si="43"/>
        <v/>
      </c>
      <c r="I122" s="28"/>
    </row>
  </sheetData>
  <conditionalFormatting sqref="Q3">
    <cfRule type="duplicateValues" dxfId="0" priority="221"/>
  </conditionalFormatting>
  <conditionalFormatting sqref="Q8">
    <cfRule type="duplicateValues" dxfId="0" priority="56"/>
  </conditionalFormatting>
  <conditionalFormatting sqref="Q9">
    <cfRule type="duplicateValues" dxfId="0" priority="55"/>
  </conditionalFormatting>
  <conditionalFormatting sqref="Q10">
    <cfRule type="duplicateValues" dxfId="0" priority="54"/>
  </conditionalFormatting>
  <conditionalFormatting sqref="Q11">
    <cfRule type="duplicateValues" dxfId="0" priority="53"/>
  </conditionalFormatting>
  <conditionalFormatting sqref="Q12">
    <cfRule type="duplicateValues" dxfId="0" priority="23"/>
  </conditionalFormatting>
  <conditionalFormatting sqref="I24">
    <cfRule type="duplicateValues" dxfId="0" priority="261"/>
  </conditionalFormatting>
  <conditionalFormatting sqref="Q29">
    <cfRule type="duplicateValues" dxfId="0" priority="72"/>
  </conditionalFormatting>
  <conditionalFormatting sqref="Q32">
    <cfRule type="duplicateValues" dxfId="0" priority="99"/>
  </conditionalFormatting>
  <conditionalFormatting sqref="Q33">
    <cfRule type="duplicateValues" dxfId="0" priority="93"/>
  </conditionalFormatting>
  <conditionalFormatting sqref="Q46">
    <cfRule type="duplicateValues" dxfId="0" priority="5127"/>
  </conditionalFormatting>
  <conditionalFormatting sqref="I47">
    <cfRule type="duplicateValues" dxfId="0" priority="253"/>
  </conditionalFormatting>
  <conditionalFormatting sqref="Q47">
    <cfRule type="duplicateValues" dxfId="0" priority="255"/>
  </conditionalFormatting>
  <conditionalFormatting sqref="I68">
    <cfRule type="duplicateValues" dxfId="0" priority="212"/>
  </conditionalFormatting>
  <conditionalFormatting sqref="Q89">
    <cfRule type="duplicateValues" dxfId="0" priority="282"/>
  </conditionalFormatting>
  <conditionalFormatting sqref="Q92">
    <cfRule type="duplicateValues" dxfId="0" priority="314"/>
  </conditionalFormatting>
  <conditionalFormatting sqref="Q93">
    <cfRule type="duplicateValues" dxfId="0" priority="313"/>
  </conditionalFormatting>
  <conditionalFormatting sqref="Q94">
    <cfRule type="duplicateValues" dxfId="0" priority="312"/>
  </conditionalFormatting>
  <conditionalFormatting sqref="Q95">
    <cfRule type="duplicateValues" dxfId="0" priority="311"/>
  </conditionalFormatting>
  <conditionalFormatting sqref="Q96">
    <cfRule type="duplicateValues" dxfId="0" priority="310"/>
  </conditionalFormatting>
  <conditionalFormatting sqref="Q97">
    <cfRule type="duplicateValues" dxfId="0" priority="309"/>
  </conditionalFormatting>
  <conditionalFormatting sqref="Q98">
    <cfRule type="duplicateValues" dxfId="0" priority="308"/>
  </conditionalFormatting>
  <conditionalFormatting sqref="Q99">
    <cfRule type="duplicateValues" dxfId="0" priority="307"/>
  </conditionalFormatting>
  <conditionalFormatting sqref="Q100">
    <cfRule type="duplicateValues" dxfId="0" priority="306"/>
  </conditionalFormatting>
  <conditionalFormatting sqref="Q101">
    <cfRule type="duplicateValues" dxfId="0" priority="316"/>
  </conditionalFormatting>
  <conditionalFormatting sqref="Q102">
    <cfRule type="duplicateValues" dxfId="0" priority="317"/>
  </conditionalFormatting>
  <conditionalFormatting sqref="G$1:G$1048576">
    <cfRule type="duplicateValues" dxfId="0" priority="5114"/>
  </conditionalFormatting>
  <conditionalFormatting sqref="H$1:H$1048576">
    <cfRule type="cellIs" dxfId="3" priority="20" stopIfTrue="1" operator="equal">
      <formula>"&lt;ul&gt;"</formula>
    </cfRule>
    <cfRule type="cellIs" dxfId="4" priority="21" stopIfTrue="1" operator="equal">
      <formula>"&lt;/ul&gt;"</formula>
    </cfRule>
    <cfRule type="duplicateValues" dxfId="0" priority="22" stopIfTrue="1"/>
  </conditionalFormatting>
  <conditionalFormatting sqref="Q24:Q25">
    <cfRule type="duplicateValues" dxfId="0" priority="5137"/>
  </conditionalFormatting>
  <conditionalFormatting sqref="Q72:Q88">
    <cfRule type="duplicateValues" dxfId="0" priority="283"/>
  </conditionalFormatting>
  <conditionalFormatting sqref="Q90:Q91">
    <cfRule type="duplicateValues" dxfId="0" priority="315"/>
  </conditionalFormatting>
  <conditionalFormatting sqref="Q2;Q4:Q7;Q13:Q23;Q48;Q26">
    <cfRule type="duplicateValues" dxfId="0" priority="5191"/>
  </conditionalFormatting>
  <conditionalFormatting sqref="Q27:Q28;Q34:Q45;Q30:Q31">
    <cfRule type="duplicateValues" dxfId="0" priority="5130"/>
  </conditionalFormatting>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65"/>
  <sheetViews>
    <sheetView workbookViewId="0">
      <pane ySplit="1" topLeftCell="A3" activePane="bottomLeft" state="frozen"/>
      <selection/>
      <selection pane="bottomLeft" activeCell="B33" sqref="B33"/>
    </sheetView>
  </sheetViews>
  <sheetFormatPr defaultColWidth="9" defaultRowHeight="16.2" outlineLevelCol="4"/>
  <cols>
    <col min="1" max="1" width="72.2" style="6" customWidth="1"/>
    <col min="2" max="2" width="7.875" style="6" hidden="1" customWidth="1"/>
    <col min="3" max="3" width="59.2" style="7" customWidth="1"/>
    <col min="4" max="4" width="6.25" style="6" customWidth="1"/>
    <col min="5" max="5" width="66" style="6"/>
    <col min="6" max="6" width="16.25" style="6" customWidth="1"/>
    <col min="7" max="16382" width="66" style="6"/>
    <col min="16383" max="16384" width="9" style="8"/>
  </cols>
  <sheetData>
    <row r="1" ht="16.95" spans="1:5">
      <c r="A1" s="9" t="s">
        <v>249</v>
      </c>
      <c r="B1" s="7"/>
      <c r="C1" s="9" t="s">
        <v>250</v>
      </c>
      <c r="D1" s="10"/>
    </row>
    <row r="2" spans="1:5">
      <c r="A2" s="6" t="s">
        <v>251</v>
      </c>
    </row>
    <row r="3" ht="16.95" spans="1:5">
      <c r="A3" s="6" t="s">
        <v>252</v>
      </c>
    </row>
    <row r="4" ht="17.7" spans="1:5">
      <c r="A4" s="11" t="s">
        <v>253</v>
      </c>
      <c r="B4" s="12"/>
      <c r="C4" s="13"/>
    </row>
    <row r="5" ht="16.95" spans="1:5">
      <c r="A5" s="14" t="str">
        <f>CONCATENATE("&lt;loc&gt;",B5,"&lt;/loc&gt;")</f>
        <v>&lt;loc&gt;https://eduardoherreraf.github.io/&lt;/loc&gt;</v>
      </c>
      <c r="B5" s="15" t="str">
        <f>C5</f>
        <v>https://eduardoherreraf.github.io/</v>
      </c>
      <c r="C5" s="16" t="s">
        <v>254</v>
      </c>
      <c r="E5" s="17"/>
    </row>
    <row r="6" spans="1:5">
      <c r="A6" s="14" t="str">
        <f>CONCATENATE("&lt;lastmod&gt;",B6,"&lt;/lastmod&gt;")</f>
        <v>&lt;lastmod&gt;2025-10-31T15:17:38-05:00&lt;/lastmod&gt;</v>
      </c>
      <c r="B6" s="15" t="str">
        <f>$C$1</f>
        <v>2025-10-31T15:17:38-05:00</v>
      </c>
      <c r="C6" s="18"/>
      <c r="E6" s="17"/>
    </row>
    <row r="7" ht="16.95" spans="1:5">
      <c r="A7" s="14" t="str">
        <f>CONCATENATE("&lt;changefreq&gt;",B7,"&lt;/changefreq&gt;")</f>
        <v>&lt;changefreq&gt;yearly&lt;/changefreq&gt;</v>
      </c>
      <c r="B7" s="15" t="s">
        <v>255</v>
      </c>
      <c r="C7" s="18"/>
      <c r="E7" s="17"/>
    </row>
    <row r="8" ht="16.95" spans="1:5">
      <c r="A8" s="14" t="str">
        <f>CONCATENATE("&lt;priority&gt;",B8,"&lt;/priority&gt;")</f>
        <v>&lt;priority&gt;1&lt;/priority&gt;</v>
      </c>
      <c r="B8" s="15">
        <f>C8</f>
        <v>1</v>
      </c>
      <c r="C8" s="19">
        <v>1</v>
      </c>
    </row>
    <row r="9" ht="16.95" spans="1:5">
      <c r="A9" s="20" t="s">
        <v>256</v>
      </c>
      <c r="B9" s="21"/>
      <c r="C9" s="22"/>
    </row>
    <row r="10" ht="17.7" spans="1:5">
      <c r="A10" s="23" t="s">
        <v>257</v>
      </c>
      <c r="B10" s="23"/>
      <c r="C10" s="23"/>
    </row>
    <row r="11" ht="17.7" spans="1:5">
      <c r="A11" s="11" t="s">
        <v>253</v>
      </c>
      <c r="B11" s="12"/>
      <c r="C11" s="13"/>
    </row>
    <row r="12" ht="16.95" spans="1:5">
      <c r="A12" s="14" t="str">
        <f>CONCATENATE("&lt;loc&gt;",B12,"&lt;/loc&gt;")</f>
        <v>&lt;loc&gt;https://eduardoherreraf.github.io/bootstrap.html&lt;/loc&gt;</v>
      </c>
      <c r="B12" s="15" t="str">
        <f>CONCATENATE($C$5,C12)</f>
        <v>https://eduardoherreraf.github.io/bootstrap.html</v>
      </c>
      <c r="C12" s="16" t="s">
        <v>258</v>
      </c>
      <c r="E12" s="17"/>
    </row>
    <row r="13" spans="1:5">
      <c r="A13" s="14" t="str">
        <f>CONCATENATE("&lt;lastmod&gt;",B13,"&lt;/lastmod&gt;")</f>
        <v>&lt;lastmod&gt;2025-10-31T15:17:38-05:00&lt;/lastmod&gt;</v>
      </c>
      <c r="B13" s="15" t="str">
        <f>$C$1</f>
        <v>2025-10-31T15:17:38-05:00</v>
      </c>
      <c r="C13" s="18"/>
      <c r="E13" s="17"/>
    </row>
    <row r="14" ht="16.95" spans="1:5">
      <c r="A14" s="14" t="str">
        <f>CONCATENATE("&lt;changefreq&gt;",B14,"&lt;/changefreq&gt;")</f>
        <v>&lt;changefreq&gt;yearly&lt;/changefreq&gt;</v>
      </c>
      <c r="B14" s="15" t="s">
        <v>255</v>
      </c>
      <c r="C14" s="18"/>
      <c r="E14" s="17"/>
    </row>
    <row r="15" ht="16.95" spans="1:5">
      <c r="A15" s="14" t="str">
        <f>CONCATENATE("&lt;priority&gt;",B15,"&lt;/priority&gt;")</f>
        <v>&lt;priority&gt;0.7&lt;/priority&gt;</v>
      </c>
      <c r="B15" s="15" t="str">
        <f>C15</f>
        <v>0.7</v>
      </c>
      <c r="C15" s="19" t="s">
        <v>259</v>
      </c>
    </row>
    <row r="16" ht="16.95" spans="1:5">
      <c r="A16" s="20" t="s">
        <v>256</v>
      </c>
      <c r="B16" s="21"/>
      <c r="C16" s="22"/>
    </row>
    <row r="17" ht="17.7" spans="1:5">
      <c r="A17" s="11" t="s">
        <v>253</v>
      </c>
      <c r="B17" s="12"/>
      <c r="C17" s="13"/>
    </row>
    <row r="18" ht="16.95" spans="1:5">
      <c r="A18" s="14" t="str">
        <f>CONCATENATE("&lt;loc&gt;",B18,"&lt;/loc&gt;")</f>
        <v>&lt;loc&gt;https://eduardoherreraf.github.io/git.html&lt;/loc&gt;</v>
      </c>
      <c r="B18" s="15" t="str">
        <f>CONCATENATE($C$5,C18)</f>
        <v>https://eduardoherreraf.github.io/git.html</v>
      </c>
      <c r="C18" s="16" t="s">
        <v>260</v>
      </c>
      <c r="E18" s="17"/>
    </row>
    <row r="19" spans="1:5">
      <c r="A19" s="14" t="str">
        <f>CONCATENATE("&lt;lastmod&gt;",B19,"&lt;/lastmod&gt;")</f>
        <v>&lt;lastmod&gt;2025-10-31T15:17:38-05:00&lt;/lastmod&gt;</v>
      </c>
      <c r="B19" s="15" t="str">
        <f>$C$1</f>
        <v>2025-10-31T15:17:38-05:00</v>
      </c>
      <c r="C19" s="18"/>
      <c r="E19" s="17"/>
    </row>
    <row r="20" ht="16.95" spans="1:5">
      <c r="A20" s="14" t="str">
        <f>CONCATENATE("&lt;changefreq&gt;",B20,"&lt;/changefreq&gt;")</f>
        <v>&lt;changefreq&gt;yearly&lt;/changefreq&gt;</v>
      </c>
      <c r="B20" s="15" t="s">
        <v>255</v>
      </c>
      <c r="C20" s="18"/>
      <c r="E20" s="17"/>
    </row>
    <row r="21" ht="16.95" spans="1:5">
      <c r="A21" s="14" t="str">
        <f>CONCATENATE("&lt;priority&gt;",B21,"&lt;/priority&gt;")</f>
        <v>&lt;priority&gt;0.7&lt;/priority&gt;</v>
      </c>
      <c r="B21" s="15" t="str">
        <f>C21</f>
        <v>0.7</v>
      </c>
      <c r="C21" s="19" t="s">
        <v>259</v>
      </c>
    </row>
    <row r="22" ht="16.95" spans="1:5">
      <c r="A22" s="20" t="s">
        <v>256</v>
      </c>
      <c r="B22" s="21"/>
      <c r="C22" s="22"/>
    </row>
    <row r="23" ht="17.7" spans="1:5">
      <c r="A23" s="11" t="s">
        <v>253</v>
      </c>
      <c r="B23" s="12"/>
      <c r="C23" s="13"/>
    </row>
    <row r="24" ht="16.95" spans="1:5">
      <c r="A24" s="14" t="str">
        <f>CONCATENATE("&lt;loc&gt;",B24,"&lt;/loc&gt;")</f>
        <v>&lt;loc&gt;https://eduardoherreraf.github.io/javascript.html&lt;/loc&gt;</v>
      </c>
      <c r="B24" s="15" t="str">
        <f>CONCATENATE($C$5,C24)</f>
        <v>https://eduardoherreraf.github.io/javascript.html</v>
      </c>
      <c r="C24" s="16" t="s">
        <v>261</v>
      </c>
      <c r="E24" s="17"/>
    </row>
    <row r="25" spans="1:5">
      <c r="A25" s="14" t="str">
        <f>CONCATENATE("&lt;lastmod&gt;",B25,"&lt;/lastmod&gt;")</f>
        <v>&lt;lastmod&gt;2025-10-31T15:17:38-05:00&lt;/lastmod&gt;</v>
      </c>
      <c r="B25" s="15" t="str">
        <f>$C$1</f>
        <v>2025-10-31T15:17:38-05:00</v>
      </c>
      <c r="C25" s="18"/>
      <c r="E25" s="17"/>
    </row>
    <row r="26" ht="16.95" spans="1:5">
      <c r="A26" s="14" t="str">
        <f>CONCATENATE("&lt;changefreq&gt;",B26,"&lt;/changefreq&gt;")</f>
        <v>&lt;changefreq&gt;yearly&lt;/changefreq&gt;</v>
      </c>
      <c r="B26" s="15" t="s">
        <v>255</v>
      </c>
      <c r="C26" s="18"/>
      <c r="E26" s="17"/>
    </row>
    <row r="27" ht="16.95" spans="1:5">
      <c r="A27" s="14" t="str">
        <f>CONCATENATE("&lt;priority&gt;",B27,"&lt;/priority&gt;")</f>
        <v>&lt;priority&gt;0.7&lt;/priority&gt;</v>
      </c>
      <c r="B27" s="15" t="str">
        <f>C27</f>
        <v>0.7</v>
      </c>
      <c r="C27" s="19" t="s">
        <v>259</v>
      </c>
    </row>
    <row r="28" ht="16.95" spans="1:5">
      <c r="A28" s="20" t="s">
        <v>256</v>
      </c>
      <c r="B28" s="21"/>
      <c r="C28" s="22"/>
    </row>
    <row r="29" ht="17.7" spans="1:5">
      <c r="A29" s="11" t="s">
        <v>253</v>
      </c>
      <c r="B29" s="12"/>
      <c r="C29" s="13"/>
    </row>
    <row r="30" ht="16.95" spans="1:5">
      <c r="A30" s="14" t="str">
        <f>CONCATENATE("&lt;loc&gt;",B30,"&lt;/loc&gt;")</f>
        <v>&lt;loc&gt;https://eduardoherreraf.github.io/photoshop.html&lt;/loc&gt;</v>
      </c>
      <c r="B30" s="15" t="str">
        <f>CONCATENATE($C$5,C30)</f>
        <v>https://eduardoherreraf.github.io/photoshop.html</v>
      </c>
      <c r="C30" s="16" t="s">
        <v>262</v>
      </c>
      <c r="E30" s="17"/>
    </row>
    <row r="31" spans="1:5">
      <c r="A31" s="14" t="str">
        <f>CONCATENATE("&lt;lastmod&gt;",B31,"&lt;/lastmod&gt;")</f>
        <v>&lt;lastmod&gt;2025-10-31T15:17:38-05:00&lt;/lastmod&gt;</v>
      </c>
      <c r="B31" s="15" t="str">
        <f>$C$1</f>
        <v>2025-10-31T15:17:38-05:00</v>
      </c>
      <c r="C31" s="18"/>
      <c r="E31" s="17"/>
    </row>
    <row r="32" ht="16.95" spans="1:5">
      <c r="A32" s="14" t="str">
        <f>CONCATENATE("&lt;changefreq&gt;",B32,"&lt;/changefreq&gt;")</f>
        <v>&lt;changefreq&gt;yearly&lt;/changefreq&gt;</v>
      </c>
      <c r="B32" s="15" t="s">
        <v>255</v>
      </c>
      <c r="C32" s="18"/>
      <c r="E32" s="17"/>
    </row>
    <row r="33" ht="16.95" spans="1:5">
      <c r="A33" s="14" t="str">
        <f>CONCATENATE("&lt;priority&gt;",B33,"&lt;/priority&gt;")</f>
        <v>&lt;priority&gt;0.7&lt;/priority&gt;</v>
      </c>
      <c r="B33" s="15" t="str">
        <f>C33</f>
        <v>0.7</v>
      </c>
      <c r="C33" s="19" t="s">
        <v>259</v>
      </c>
    </row>
    <row r="34" ht="16.95" spans="1:5">
      <c r="A34" s="20" t="s">
        <v>256</v>
      </c>
      <c r="B34" s="21"/>
      <c r="C34" s="22"/>
    </row>
    <row r="35" ht="17.7" spans="1:5">
      <c r="A35" s="11" t="s">
        <v>253</v>
      </c>
      <c r="B35" s="12"/>
      <c r="C35" s="13"/>
    </row>
    <row r="36" ht="16.95" spans="1:5">
      <c r="A36" s="14" t="str">
        <f>CONCATENATE("&lt;loc&gt;",B36,"&lt;/loc&gt;")</f>
        <v>&lt;loc&gt;https://eduardoherreraf.github.io/otrosTemas.html&lt;/loc&gt;</v>
      </c>
      <c r="B36" s="15" t="str">
        <f>CONCATENATE($C$5,C36)</f>
        <v>https://eduardoherreraf.github.io/otrosTemas.html</v>
      </c>
      <c r="C36" s="16" t="s">
        <v>263</v>
      </c>
      <c r="E36" s="17"/>
    </row>
    <row r="37" spans="1:5">
      <c r="A37" s="14" t="str">
        <f>CONCATENATE("&lt;lastmod&gt;",B37,"&lt;/lastmod&gt;")</f>
        <v>&lt;lastmod&gt;2025-10-31T15:17:38-05:00&lt;/lastmod&gt;</v>
      </c>
      <c r="B37" s="15" t="str">
        <f>$C$1</f>
        <v>2025-10-31T15:17:38-05:00</v>
      </c>
      <c r="C37" s="18"/>
      <c r="E37" s="17"/>
    </row>
    <row r="38" ht="16.95" spans="1:5">
      <c r="A38" s="14" t="str">
        <f>CONCATENATE("&lt;changefreq&gt;",B38,"&lt;/changefreq&gt;")</f>
        <v>&lt;changefreq&gt;yearly&lt;/changefreq&gt;</v>
      </c>
      <c r="B38" s="15" t="s">
        <v>255</v>
      </c>
      <c r="C38" s="18"/>
      <c r="E38" s="17"/>
    </row>
    <row r="39" ht="16.95" spans="1:5">
      <c r="A39" s="14" t="str">
        <f>CONCATENATE("&lt;priority&gt;",B39,"&lt;/priority&gt;")</f>
        <v>&lt;priority&gt;0.7&lt;/priority&gt;</v>
      </c>
      <c r="B39" s="15" t="str">
        <f>C39</f>
        <v>0.7</v>
      </c>
      <c r="C39" s="19" t="s">
        <v>259</v>
      </c>
    </row>
    <row r="40" ht="16.95" spans="1:5">
      <c r="A40" s="20" t="s">
        <v>256</v>
      </c>
      <c r="B40" s="21"/>
      <c r="C40" s="22"/>
    </row>
    <row r="41" ht="17.7" spans="1:5">
      <c r="A41" s="11" t="s">
        <v>253</v>
      </c>
      <c r="B41" s="12"/>
      <c r="C41" s="13"/>
    </row>
    <row r="42" ht="16.95" spans="1:5">
      <c r="A42" s="14" t="str">
        <f>CONCATENATE("&lt;loc&gt;",B42,"&lt;/loc&gt;")</f>
        <v>&lt;loc&gt;https://eduardoherreraf.github.io/cursoPython3.html&lt;/loc&gt;</v>
      </c>
      <c r="B42" s="15" t="str">
        <f>CONCATENATE($C$5,C42)</f>
        <v>https://eduardoherreraf.github.io/cursoPython3.html</v>
      </c>
      <c r="C42" s="16" t="s">
        <v>264</v>
      </c>
      <c r="E42" s="17"/>
    </row>
    <row r="43" spans="1:5">
      <c r="A43" s="14" t="str">
        <f>CONCATENATE("&lt;lastmod&gt;",B43,"&lt;/lastmod&gt;")</f>
        <v>&lt;lastmod&gt;2025-10-31T15:17:38-05:00&lt;/lastmod&gt;</v>
      </c>
      <c r="B43" s="15" t="str">
        <f>$C$1</f>
        <v>2025-10-31T15:17:38-05:00</v>
      </c>
      <c r="C43" s="18"/>
      <c r="E43" s="17"/>
    </row>
    <row r="44" ht="16.95" spans="1:5">
      <c r="A44" s="14" t="str">
        <f>CONCATENATE("&lt;changefreq&gt;",B44,"&lt;/changefreq&gt;")</f>
        <v>&lt;changefreq&gt;yearly&lt;/changefreq&gt;</v>
      </c>
      <c r="B44" s="15" t="s">
        <v>255</v>
      </c>
      <c r="C44" s="18"/>
      <c r="E44" s="17"/>
    </row>
    <row r="45" ht="16.95" spans="1:5">
      <c r="A45" s="14" t="str">
        <f>CONCATENATE("&lt;priority&gt;",B45,"&lt;/priority&gt;")</f>
        <v>&lt;priority&gt;0.7&lt;/priority&gt;</v>
      </c>
      <c r="B45" s="15" t="str">
        <f>C45</f>
        <v>0.7</v>
      </c>
      <c r="C45" s="19" t="s">
        <v>259</v>
      </c>
    </row>
    <row r="46" ht="16.95" spans="1:5">
      <c r="A46" s="20" t="s">
        <v>256</v>
      </c>
      <c r="B46" s="21"/>
      <c r="C46" s="22"/>
    </row>
    <row r="47" ht="17.7" spans="1:5">
      <c r="A47" s="11" t="s">
        <v>253</v>
      </c>
      <c r="B47" s="12"/>
      <c r="C47" s="13"/>
    </row>
    <row r="48" ht="16.95" spans="1:5">
      <c r="A48" s="14" t="str">
        <f>CONCATENATE("&lt;loc&gt;",B48,"&lt;/loc&gt;")</f>
        <v>&lt;loc&gt;https://eduardoherreraf.github.io/html.html&lt;/loc&gt;</v>
      </c>
      <c r="B48" s="15" t="str">
        <f>CONCATENATE($C$5,C48)</f>
        <v>https://eduardoherreraf.github.io/html.html</v>
      </c>
      <c r="C48" s="16" t="s">
        <v>265</v>
      </c>
      <c r="E48" s="17"/>
    </row>
    <row r="49" spans="1:5">
      <c r="A49" s="14" t="str">
        <f>CONCATENATE("&lt;lastmod&gt;",B49,"&lt;/lastmod&gt;")</f>
        <v>&lt;lastmod&gt;2025-10-31T15:17:38-05:00&lt;/lastmod&gt;</v>
      </c>
      <c r="B49" s="15" t="str">
        <f>$C$1</f>
        <v>2025-10-31T15:17:38-05:00</v>
      </c>
      <c r="C49" s="18"/>
      <c r="E49" s="17"/>
    </row>
    <row r="50" ht="16.95" spans="1:5">
      <c r="A50" s="14" t="str">
        <f>CONCATENATE("&lt;changefreq&gt;",B50,"&lt;/changefreq&gt;")</f>
        <v>&lt;changefreq&gt;monthly&lt;/changefreq&gt;</v>
      </c>
      <c r="B50" s="15" t="s">
        <v>266</v>
      </c>
      <c r="C50" s="18"/>
      <c r="E50" s="17"/>
    </row>
    <row r="51" ht="16.95" spans="1:5">
      <c r="A51" s="14" t="str">
        <f>CONCATENATE("&lt;priority&gt;",B51,"&lt;/priority&gt;")</f>
        <v>&lt;priority&gt;0.7&lt;/priority&gt;</v>
      </c>
      <c r="B51" s="15" t="str">
        <f>C51</f>
        <v>0.7</v>
      </c>
      <c r="C51" s="19" t="s">
        <v>259</v>
      </c>
    </row>
    <row r="52" ht="16.95" spans="1:5">
      <c r="A52" s="20" t="s">
        <v>256</v>
      </c>
      <c r="B52" s="21"/>
      <c r="C52" s="22"/>
    </row>
    <row r="53" ht="17.7" spans="1:5">
      <c r="A53" s="11" t="s">
        <v>253</v>
      </c>
      <c r="B53" s="12"/>
      <c r="C53" s="13"/>
    </row>
    <row r="54" ht="16.95" spans="1:5">
      <c r="A54" s="14" t="str">
        <f>CONCATENATE("&lt;loc&gt;",B54,"&lt;/loc&gt;")</f>
        <v>&lt;loc&gt;https://eduardoherreraf.github.io/chatgpt&lt;/loc&gt;</v>
      </c>
      <c r="B54" s="15" t="str">
        <f>CONCATENATE($C$5,C54)</f>
        <v>https://eduardoherreraf.github.io/chatgpt</v>
      </c>
      <c r="C54" s="16" t="s">
        <v>267</v>
      </c>
      <c r="E54" s="17"/>
    </row>
    <row r="55" spans="1:5">
      <c r="A55" s="14" t="str">
        <f>CONCATENATE("&lt;lastmod&gt;",B55,"&lt;/lastmod&gt;")</f>
        <v>&lt;lastmod&gt;2025-10-31T15:17:38-05:00&lt;/lastmod&gt;</v>
      </c>
      <c r="B55" s="15" t="str">
        <f>$C$1</f>
        <v>2025-10-31T15:17:38-05:00</v>
      </c>
      <c r="C55" s="18"/>
      <c r="E55" s="17"/>
    </row>
    <row r="56" ht="16.95" spans="1:5">
      <c r="A56" s="14" t="str">
        <f>CONCATENATE("&lt;changefreq&gt;",B56,"&lt;/changefreq&gt;")</f>
        <v>&lt;changefreq&gt;yearly&lt;/changefreq&gt;</v>
      </c>
      <c r="B56" s="15" t="s">
        <v>255</v>
      </c>
      <c r="C56" s="18"/>
      <c r="E56" s="17"/>
    </row>
    <row r="57" ht="16.95" spans="1:5">
      <c r="A57" s="14" t="str">
        <f>CONCATENATE("&lt;priority&gt;",B57,"&lt;/priority&gt;")</f>
        <v>&lt;priority&gt;0.7&lt;/priority&gt;</v>
      </c>
      <c r="B57" s="15" t="str">
        <f>C57</f>
        <v>0.7</v>
      </c>
      <c r="C57" s="19" t="s">
        <v>259</v>
      </c>
    </row>
    <row r="58" ht="16.95" spans="1:5">
      <c r="A58" s="20" t="s">
        <v>256</v>
      </c>
      <c r="B58" s="21"/>
      <c r="C58" s="22"/>
    </row>
    <row r="59" ht="17.7" spans="1:5">
      <c r="A59" s="11" t="s">
        <v>253</v>
      </c>
      <c r="B59" s="12"/>
      <c r="C59" s="13"/>
    </row>
    <row r="60" ht="16.95" spans="1:5">
      <c r="A60" s="14" t="str">
        <f>CONCATENATE("&lt;loc&gt;",B60,"&lt;/loc&gt;")</f>
        <v>&lt;loc&gt;https://eduardoherreraf.github.io/css&lt;/loc&gt;</v>
      </c>
      <c r="B60" s="15" t="str">
        <f>CONCATENATE($C$5,C60)</f>
        <v>https://eduardoherreraf.github.io/css</v>
      </c>
      <c r="C60" s="16" t="s">
        <v>268</v>
      </c>
      <c r="E60" s="17"/>
    </row>
    <row r="61" spans="1:5">
      <c r="A61" s="14" t="str">
        <f>CONCATENATE("&lt;lastmod&gt;",B61,"&lt;/lastmod&gt;")</f>
        <v>&lt;lastmod&gt;2025-10-31T15:17:38-05:00&lt;/lastmod&gt;</v>
      </c>
      <c r="B61" s="15" t="str">
        <f>$C$1</f>
        <v>2025-10-31T15:17:38-05:00</v>
      </c>
      <c r="C61" s="18"/>
      <c r="E61" s="17"/>
    </row>
    <row r="62" ht="16.95" spans="1:5">
      <c r="A62" s="14" t="str">
        <f>CONCATENATE("&lt;changefreq&gt;",B62,"&lt;/changefreq&gt;")</f>
        <v>&lt;changefreq&gt;yearly&lt;/changefreq&gt;</v>
      </c>
      <c r="B62" s="15" t="s">
        <v>255</v>
      </c>
      <c r="C62" s="18"/>
      <c r="E62" s="17"/>
    </row>
    <row r="63" ht="16.95" spans="1:5">
      <c r="A63" s="14" t="str">
        <f>CONCATENATE("&lt;priority&gt;",B63,"&lt;/priority&gt;")</f>
        <v>&lt;priority&gt;0.7&lt;/priority&gt;</v>
      </c>
      <c r="B63" s="15" t="str">
        <f>C63</f>
        <v>0.7</v>
      </c>
      <c r="C63" s="19" t="s">
        <v>259</v>
      </c>
    </row>
    <row r="64" ht="16.95" spans="1:5">
      <c r="A64" s="20" t="s">
        <v>256</v>
      </c>
      <c r="B64" s="21"/>
      <c r="C64" s="22"/>
    </row>
    <row r="65" ht="17.7" spans="1:5">
      <c r="A65" s="23" t="s">
        <v>269</v>
      </c>
      <c r="B65" s="23"/>
      <c r="C65" s="23"/>
      <c r="E65" s="17"/>
    </row>
    <row r="66" ht="17.7" spans="1:5">
      <c r="A66" s="11" t="s">
        <v>253</v>
      </c>
      <c r="B66" s="12"/>
      <c r="C66" s="13"/>
    </row>
    <row r="67" ht="16.95" spans="1:5">
      <c r="A67" s="14" t="str">
        <f>CONCATENATE("&lt;loc&gt;",B67,"&lt;/loc&gt;")</f>
        <v>&lt;loc&gt;https://eduardoherreraf.github.io/bootstrap-instalacion_de_bootstrap_v5_con_npm_y_parcel.html&lt;/loc&gt;</v>
      </c>
      <c r="B67" s="15" t="str">
        <f>CONCATENATE($C$5,C67)</f>
        <v>https://eduardoherreraf.github.io/bootstrap-instalacion_de_bootstrap_v5_con_npm_y_parcel.html</v>
      </c>
      <c r="C67" s="16" t="s">
        <v>270</v>
      </c>
      <c r="E67" s="17"/>
    </row>
    <row r="68" spans="1:5">
      <c r="A68" s="14" t="str">
        <f>CONCATENATE("&lt;lastmod&gt;",B68,"&lt;/lastmod&gt;")</f>
        <v>&lt;lastmod&gt;2025-10-31T15:17:38-05:00&lt;/lastmod&gt;</v>
      </c>
      <c r="B68" s="15" t="str">
        <f>$C$1</f>
        <v>2025-10-31T15:17:38-05:00</v>
      </c>
      <c r="C68" s="18"/>
      <c r="E68" s="17"/>
    </row>
    <row r="69" ht="16.95" spans="1:5">
      <c r="A69" s="14" t="str">
        <f>CONCATENATE("&lt;changefreq&gt;",B69,"&lt;/changefreq&gt;")</f>
        <v>&lt;changefreq&gt;yearly&lt;/changefreq&gt;</v>
      </c>
      <c r="B69" s="15" t="s">
        <v>255</v>
      </c>
      <c r="C69" s="18"/>
      <c r="E69" s="17"/>
    </row>
    <row r="70" ht="16.95" spans="1:5">
      <c r="A70" s="14" t="str">
        <f>CONCATENATE("&lt;priority&gt;",B70,"&lt;/priority&gt;")</f>
        <v>&lt;priority&gt;0.6&lt;/priority&gt;</v>
      </c>
      <c r="B70" s="15" t="str">
        <f>C70</f>
        <v>0.6</v>
      </c>
      <c r="C70" s="19" t="s">
        <v>271</v>
      </c>
    </row>
    <row r="71" ht="16.95" spans="1:5">
      <c r="A71" s="20" t="s">
        <v>256</v>
      </c>
      <c r="B71" s="21"/>
      <c r="C71" s="22"/>
    </row>
    <row r="72" ht="17.7" spans="1:5">
      <c r="A72" s="11" t="s">
        <v>253</v>
      </c>
      <c r="B72" s="12"/>
      <c r="C72" s="13"/>
    </row>
    <row r="73" ht="16.95" spans="1:5">
      <c r="A73" s="14" t="str">
        <f>CONCATENATE("&lt;loc&gt;",B73,"&lt;/loc&gt;")</f>
        <v>&lt;loc&gt;https://eduardoherreraf.github.io/bootstrap-instalacion_de_bootstrap_v5_con_npm_y_vite.html&lt;/loc&gt;</v>
      </c>
      <c r="B73" s="15" t="str">
        <f>CONCATENATE($C$5,C73)</f>
        <v>https://eduardoherreraf.github.io/bootstrap-instalacion_de_bootstrap_v5_con_npm_y_vite.html</v>
      </c>
      <c r="C73" s="16" t="s">
        <v>272</v>
      </c>
      <c r="E73" s="17"/>
    </row>
    <row r="74" spans="1:5">
      <c r="A74" s="14" t="str">
        <f>CONCATENATE("&lt;lastmod&gt;",B74,"&lt;/lastmod&gt;")</f>
        <v>&lt;lastmod&gt;2025-10-31T15:17:38-05:00&lt;/lastmod&gt;</v>
      </c>
      <c r="B74" s="15" t="str">
        <f>$C$1</f>
        <v>2025-10-31T15:17:38-05:00</v>
      </c>
      <c r="C74" s="18"/>
      <c r="E74" s="17"/>
    </row>
    <row r="75" ht="16.95" spans="1:5">
      <c r="A75" s="14" t="str">
        <f>CONCATENATE("&lt;changefreq&gt;",B75,"&lt;/changefreq&gt;")</f>
        <v>&lt;changefreq&gt;yearly&lt;/changefreq&gt;</v>
      </c>
      <c r="B75" s="15" t="s">
        <v>255</v>
      </c>
      <c r="C75" s="18"/>
      <c r="E75" s="17"/>
    </row>
    <row r="76" ht="16.95" spans="1:5">
      <c r="A76" s="14" t="str">
        <f>CONCATENATE("&lt;priority&gt;",B76,"&lt;/priority&gt;")</f>
        <v>&lt;priority&gt;0.6&lt;/priority&gt;</v>
      </c>
      <c r="B76" s="15" t="str">
        <f>C76</f>
        <v>0.6</v>
      </c>
      <c r="C76" s="19" t="s">
        <v>271</v>
      </c>
    </row>
    <row r="77" ht="16.95" spans="1:5">
      <c r="A77" s="20" t="s">
        <v>256</v>
      </c>
      <c r="B77" s="21"/>
      <c r="C77" s="22"/>
    </row>
    <row r="78" ht="17.7" spans="1:5">
      <c r="A78" s="23" t="s">
        <v>273</v>
      </c>
      <c r="B78" s="23"/>
      <c r="C78" s="23"/>
      <c r="E78" s="17"/>
    </row>
    <row r="79" ht="17.7" spans="1:5">
      <c r="A79" s="11" t="s">
        <v>253</v>
      </c>
      <c r="B79" s="12"/>
      <c r="C79" s="13"/>
    </row>
    <row r="80" ht="16.95" spans="1:5">
      <c r="A80" s="14" t="str">
        <f>CONCATENATE("&lt;loc&gt;",B80,"&lt;/loc&gt;")</f>
        <v>&lt;loc&gt;https://eduardoherreraf.github.io/git-01_como_eliminar_el_ultimo_commit_de_git.html&lt;/loc&gt;</v>
      </c>
      <c r="B80" s="15" t="str">
        <f>CONCATENATE($C$5,C80)</f>
        <v>https://eduardoherreraf.github.io/git-01_como_eliminar_el_ultimo_commit_de_git.html</v>
      </c>
      <c r="C80" s="19" t="s">
        <v>274</v>
      </c>
      <c r="E80" s="17"/>
    </row>
    <row r="81" spans="1:5">
      <c r="A81" s="14" t="str">
        <f>CONCATENATE("&lt;lastmod&gt;",B81,"&lt;/lastmod&gt;")</f>
        <v>&lt;lastmod&gt;2025-10-31T15:17:38-05:00&lt;/lastmod&gt;</v>
      </c>
      <c r="B81" s="15" t="str">
        <f>$C$1</f>
        <v>2025-10-31T15:17:38-05:00</v>
      </c>
      <c r="C81" s="18"/>
      <c r="E81" s="17"/>
    </row>
    <row r="82" ht="16.95" spans="1:5">
      <c r="A82" s="14" t="str">
        <f>CONCATENATE("&lt;changefreq&gt;",B82,"&lt;/changefreq&gt;")</f>
        <v>&lt;changefreq&gt;yearly&lt;/changefreq&gt;</v>
      </c>
      <c r="B82" s="15" t="s">
        <v>255</v>
      </c>
      <c r="C82" s="18"/>
      <c r="E82" s="17"/>
    </row>
    <row r="83" ht="16.95" spans="1:5">
      <c r="A83" s="14" t="str">
        <f>CONCATENATE("&lt;priority&gt;",B83,"&lt;/priority&gt;")</f>
        <v>&lt;priority&gt;0.6&lt;/priority&gt;</v>
      </c>
      <c r="B83" s="15" t="str">
        <f>C83</f>
        <v>0.6</v>
      </c>
      <c r="C83" s="19" t="s">
        <v>271</v>
      </c>
    </row>
    <row r="84" ht="16.95" spans="1:5">
      <c r="A84" s="20" t="s">
        <v>256</v>
      </c>
      <c r="B84" s="21"/>
      <c r="C84" s="22"/>
    </row>
    <row r="85" ht="17.7" spans="1:5">
      <c r="A85" s="11" t="s">
        <v>253</v>
      </c>
      <c r="B85" s="12"/>
      <c r="C85" s="13"/>
    </row>
    <row r="86" ht="16.95" spans="1:5">
      <c r="A86" s="14" t="str">
        <f>CONCATENATE("&lt;loc&gt;",B86,"&lt;/loc&gt;")</f>
        <v>&lt;loc&gt;https://eduardoherreraf.github.io/git-02_comandos_basicos_de_consola-terminal_cli_para_windows.html&lt;/loc&gt;</v>
      </c>
      <c r="B86" s="15" t="str">
        <f>CONCATENATE($C$5,C86)</f>
        <v>https://eduardoherreraf.github.io/git-02_comandos_basicos_de_consola-terminal_cli_para_windows.html</v>
      </c>
      <c r="C86" s="19" t="s">
        <v>275</v>
      </c>
      <c r="E86" s="17"/>
    </row>
    <row r="87" spans="1:5">
      <c r="A87" s="14" t="str">
        <f>CONCATENATE("&lt;lastmod&gt;",B87,"&lt;/lastmod&gt;")</f>
        <v>&lt;lastmod&gt;2025-10-31T15:17:38-05:00&lt;/lastmod&gt;</v>
      </c>
      <c r="B87" s="15" t="str">
        <f>$C$1</f>
        <v>2025-10-31T15:17:38-05:00</v>
      </c>
      <c r="C87" s="18"/>
      <c r="E87" s="17"/>
    </row>
    <row r="88" ht="16.95" spans="1:5">
      <c r="A88" s="14" t="str">
        <f>CONCATENATE("&lt;changefreq&gt;",B88,"&lt;/changefreq&gt;")</f>
        <v>&lt;changefreq&gt;yearly&lt;/changefreq&gt;</v>
      </c>
      <c r="B88" s="15" t="s">
        <v>255</v>
      </c>
      <c r="C88" s="18"/>
      <c r="E88" s="17"/>
    </row>
    <row r="89" ht="16.95" spans="1:5">
      <c r="A89" s="14" t="str">
        <f>CONCATENATE("&lt;priority&gt;",B89,"&lt;/priority&gt;")</f>
        <v>&lt;priority&gt;0.6&lt;/priority&gt;</v>
      </c>
      <c r="B89" s="15" t="str">
        <f>C89</f>
        <v>0.6</v>
      </c>
      <c r="C89" s="19" t="s">
        <v>271</v>
      </c>
    </row>
    <row r="90" ht="16.95" spans="1:5">
      <c r="A90" s="20" t="s">
        <v>256</v>
      </c>
      <c r="B90" s="21"/>
      <c r="C90" s="22"/>
    </row>
    <row r="91" ht="17.7" spans="1:5">
      <c r="A91" s="11" t="s">
        <v>253</v>
      </c>
      <c r="B91" s="12"/>
      <c r="C91" s="13"/>
    </row>
    <row r="92" ht="16.95" spans="1:5">
      <c r="A92" s="14" t="str">
        <f>CONCATENATE("&lt;loc&gt;",B92,"&lt;/loc&gt;")</f>
        <v>&lt;loc&gt;https://eduardoherreraf.github.io/git-03_introduccion_de_git_para_windows.html&lt;/loc&gt;</v>
      </c>
      <c r="B92" s="15" t="str">
        <f>CONCATENATE($C$5,C92)</f>
        <v>https://eduardoherreraf.github.io/git-03_introduccion_de_git_para_windows.html</v>
      </c>
      <c r="C92" s="19" t="s">
        <v>276</v>
      </c>
      <c r="E92" s="17"/>
    </row>
    <row r="93" spans="1:5">
      <c r="A93" s="14" t="str">
        <f>CONCATENATE("&lt;lastmod&gt;",B93,"&lt;/lastmod&gt;")</f>
        <v>&lt;lastmod&gt;2025-10-31T15:17:38-05:00&lt;/lastmod&gt;</v>
      </c>
      <c r="B93" s="15" t="str">
        <f>$C$1</f>
        <v>2025-10-31T15:17:38-05:00</v>
      </c>
      <c r="C93" s="18"/>
      <c r="E93" s="17"/>
    </row>
    <row r="94" ht="16.95" spans="1:5">
      <c r="A94" s="14" t="str">
        <f>CONCATENATE("&lt;changefreq&gt;",B94,"&lt;/changefreq&gt;")</f>
        <v>&lt;changefreq&gt;yearly&lt;/changefreq&gt;</v>
      </c>
      <c r="B94" s="15" t="s">
        <v>255</v>
      </c>
      <c r="C94" s="18"/>
      <c r="E94" s="17"/>
    </row>
    <row r="95" ht="16.95" spans="1:5">
      <c r="A95" s="14" t="str">
        <f>CONCATENATE("&lt;priority&gt;",B95,"&lt;/priority&gt;")</f>
        <v>&lt;priority&gt;0.6&lt;/priority&gt;</v>
      </c>
      <c r="B95" s="15" t="str">
        <f>C95</f>
        <v>0.6</v>
      </c>
      <c r="C95" s="19" t="s">
        <v>271</v>
      </c>
    </row>
    <row r="96" ht="16.95" spans="1:5">
      <c r="A96" s="20" t="s">
        <v>256</v>
      </c>
      <c r="B96" s="21"/>
      <c r="C96" s="22"/>
    </row>
    <row r="97" ht="17.7" spans="1:5">
      <c r="A97" s="11" t="s">
        <v>253</v>
      </c>
      <c r="B97" s="12"/>
      <c r="C97" s="13"/>
    </row>
    <row r="98" ht="16.95" spans="1:5">
      <c r="A98" s="14" t="str">
        <f>CONCATENATE("&lt;loc&gt;",B98,"&lt;/loc&gt;")</f>
        <v>&lt;loc&gt;https://eduardoherreraf.github.io/git-04_configuracion_inicial_git.html&lt;/loc&gt;</v>
      </c>
      <c r="B98" s="15" t="str">
        <f>CONCATENATE($C$5,C98)</f>
        <v>https://eduardoherreraf.github.io/git-04_configuracion_inicial_git.html</v>
      </c>
      <c r="C98" s="19" t="s">
        <v>277</v>
      </c>
      <c r="E98" s="17"/>
    </row>
    <row r="99" spans="1:5">
      <c r="A99" s="14" t="str">
        <f>CONCATENATE("&lt;lastmod&gt;",B99,"&lt;/lastmod&gt;")</f>
        <v>&lt;lastmod&gt;2025-10-31T15:17:38-05:00&lt;/lastmod&gt;</v>
      </c>
      <c r="B99" s="15" t="str">
        <f>$C$1</f>
        <v>2025-10-31T15:17:38-05:00</v>
      </c>
      <c r="C99" s="18"/>
      <c r="E99" s="17"/>
    </row>
    <row r="100" ht="16.95" spans="1:5">
      <c r="A100" s="14" t="str">
        <f>CONCATENATE("&lt;changefreq&gt;",B100,"&lt;/changefreq&gt;")</f>
        <v>&lt;changefreq&gt;yearly&lt;/changefreq&gt;</v>
      </c>
      <c r="B100" s="15" t="s">
        <v>255</v>
      </c>
      <c r="C100" s="18"/>
      <c r="E100" s="17"/>
    </row>
    <row r="101" ht="16.95" spans="1:5">
      <c r="A101" s="14" t="str">
        <f>CONCATENATE("&lt;priority&gt;",B101,"&lt;/priority&gt;")</f>
        <v>&lt;priority&gt;0.6&lt;/priority&gt;</v>
      </c>
      <c r="B101" s="15" t="str">
        <f>C101</f>
        <v>0.6</v>
      </c>
      <c r="C101" s="19" t="s">
        <v>271</v>
      </c>
    </row>
    <row r="102" ht="16.95" spans="1:5">
      <c r="A102" s="20" t="s">
        <v>256</v>
      </c>
      <c r="B102" s="21"/>
      <c r="C102" s="22"/>
    </row>
    <row r="103" ht="17.7" spans="1:5">
      <c r="A103" s="11" t="s">
        <v>253</v>
      </c>
      <c r="B103" s="12"/>
      <c r="C103" s="13"/>
    </row>
    <row r="104" ht="16.95" spans="1:5">
      <c r="A104" s="14" t="str">
        <f>CONCATENATE("&lt;loc&gt;",B104,"&lt;/loc&gt;")</f>
        <v>&lt;loc&gt;https://eduardoherreraf.github.io/git-05_reiniciar_repositorio_en_git-github.html&lt;/loc&gt;</v>
      </c>
      <c r="B104" s="15" t="str">
        <f>CONCATENATE($C$5,C104)</f>
        <v>https://eduardoherreraf.github.io/git-05_reiniciar_repositorio_en_git-github.html</v>
      </c>
      <c r="C104" s="19" t="s">
        <v>278</v>
      </c>
    </row>
    <row r="105" spans="1:5">
      <c r="A105" s="14" t="str">
        <f>CONCATENATE("&lt;lastmod&gt;",B105,"&lt;/lastmod&gt;")</f>
        <v>&lt;lastmod&gt;2025-10-31T15:17:38-05:00&lt;/lastmod&gt;</v>
      </c>
      <c r="B105" s="15" t="str">
        <f>$C$1</f>
        <v>2025-10-31T15:17:38-05:00</v>
      </c>
      <c r="C105" s="18"/>
      <c r="E105" s="17"/>
    </row>
    <row r="106" ht="16.95" spans="1:5">
      <c r="A106" s="14" t="str">
        <f>CONCATENATE("&lt;changefreq&gt;",B106,"&lt;/changefreq&gt;")</f>
        <v>&lt;changefreq&gt;yearly&lt;/changefreq&gt;</v>
      </c>
      <c r="B106" s="15" t="s">
        <v>255</v>
      </c>
      <c r="C106" s="18"/>
      <c r="E106" s="17"/>
    </row>
    <row r="107" ht="16.95" spans="1:5">
      <c r="A107" s="14" t="str">
        <f>CONCATENATE("&lt;priority&gt;",B107,"&lt;/priority&gt;")</f>
        <v>&lt;priority&gt;0.6&lt;/priority&gt;</v>
      </c>
      <c r="B107" s="15" t="str">
        <f>C107</f>
        <v>0.6</v>
      </c>
      <c r="C107" s="19" t="s">
        <v>271</v>
      </c>
      <c r="E107" s="17"/>
    </row>
    <row r="108" ht="16.95" spans="1:5">
      <c r="A108" s="20" t="s">
        <v>256</v>
      </c>
      <c r="B108" s="21"/>
      <c r="C108" s="22"/>
    </row>
    <row r="109" ht="17.7" spans="1:5">
      <c r="A109" s="11" t="s">
        <v>253</v>
      </c>
      <c r="B109" s="12"/>
      <c r="C109" s="13"/>
    </row>
    <row r="110" ht="16.95" spans="1:5">
      <c r="A110" s="14" t="str">
        <f>CONCATENATE("&lt;loc&gt;",B110,"&lt;/loc&gt;")</f>
        <v>&lt;loc&gt;https://eduardoherreraf.github.io/git-0006_Etiquetado_en_git.html&lt;/loc&gt;</v>
      </c>
      <c r="B110" s="15" t="str">
        <f>CONCATENATE($C$5,C110)</f>
        <v>https://eduardoherreraf.github.io/git-0006_Etiquetado_en_git.html</v>
      </c>
      <c r="C110" s="19" t="s">
        <v>279</v>
      </c>
    </row>
    <row r="111" spans="1:5">
      <c r="A111" s="14" t="str">
        <f>CONCATENATE("&lt;lastmod&gt;",B111,"&lt;/lastmod&gt;")</f>
        <v>&lt;lastmod&gt;2025-10-31T15:17:38-05:00&lt;/lastmod&gt;</v>
      </c>
      <c r="B111" s="15" t="str">
        <f>$C$1</f>
        <v>2025-10-31T15:17:38-05:00</v>
      </c>
      <c r="C111" s="18"/>
      <c r="E111" s="17"/>
    </row>
    <row r="112" ht="16.95" spans="1:5">
      <c r="A112" s="14" t="str">
        <f>CONCATENATE("&lt;changefreq&gt;",B112,"&lt;/changefreq&gt;")</f>
        <v>&lt;changefreq&gt;yearly&lt;/changefreq&gt;</v>
      </c>
      <c r="B112" s="15" t="s">
        <v>255</v>
      </c>
      <c r="C112" s="18"/>
      <c r="E112" s="17"/>
    </row>
    <row r="113" ht="16.95" spans="1:5">
      <c r="A113" s="14" t="str">
        <f>CONCATENATE("&lt;priority&gt;",B113,"&lt;/priority&gt;")</f>
        <v>&lt;priority&gt;0.6&lt;/priority&gt;</v>
      </c>
      <c r="B113" s="15" t="str">
        <f>C113</f>
        <v>0.6</v>
      </c>
      <c r="C113" s="19" t="s">
        <v>271</v>
      </c>
      <c r="E113" s="17"/>
    </row>
    <row r="114" ht="16.95" spans="1:5">
      <c r="A114" s="20" t="s">
        <v>256</v>
      </c>
      <c r="B114" s="21"/>
      <c r="C114" s="22"/>
    </row>
    <row r="115" ht="17.7" spans="1:5">
      <c r="A115" s="23" t="s">
        <v>280</v>
      </c>
      <c r="B115" s="23"/>
      <c r="C115" s="23"/>
    </row>
    <row r="116" ht="17.7" spans="1:5">
      <c r="A116" s="11" t="s">
        <v>253</v>
      </c>
      <c r="B116" s="12"/>
      <c r="C116" s="13"/>
    </row>
    <row r="117" ht="16.95" spans="1:5">
      <c r="A117" s="14" t="str">
        <f>CONCATENATE("&lt;loc&gt;",B117,"&lt;/loc&gt;")</f>
        <v>&lt;loc&gt;https://eduardoherreraf.github.io/javascript-como_ejecutar_un_codigo_javascript.html&lt;/loc&gt;</v>
      </c>
      <c r="B117" s="15" t="str">
        <f>CONCATENATE($C$5,C117)</f>
        <v>https://eduardoherreraf.github.io/javascript-como_ejecutar_un_codigo_javascript.html</v>
      </c>
      <c r="C117" s="19" t="s">
        <v>281</v>
      </c>
      <c r="E117" s="17"/>
    </row>
    <row r="118" spans="1:5">
      <c r="A118" s="14" t="str">
        <f>CONCATENATE("&lt;lastmod&gt;",B118,"&lt;/lastmod&gt;")</f>
        <v>&lt;lastmod&gt;2025-10-31T15:17:38-05:00&lt;/lastmod&gt;</v>
      </c>
      <c r="B118" s="15" t="str">
        <f>$C$1</f>
        <v>2025-10-31T15:17:38-05:00</v>
      </c>
      <c r="C118" s="18"/>
      <c r="E118" s="17"/>
    </row>
    <row r="119" ht="16.95" spans="1:5">
      <c r="A119" s="14" t="str">
        <f>CONCATENATE("&lt;changefreq&gt;",B119,"&lt;/changefreq&gt;")</f>
        <v>&lt;changefreq&gt;yearly&lt;/changefreq&gt;</v>
      </c>
      <c r="B119" s="15" t="s">
        <v>255</v>
      </c>
      <c r="C119" s="18"/>
      <c r="E119" s="17"/>
    </row>
    <row r="120" ht="16.95" spans="1:5">
      <c r="A120" s="14" t="str">
        <f>CONCATENATE("&lt;priority&gt;",B120,"&lt;/priority&gt;")</f>
        <v>&lt;priority&gt;0.6&lt;/priority&gt;</v>
      </c>
      <c r="B120" s="15" t="str">
        <f>C120</f>
        <v>0.6</v>
      </c>
      <c r="C120" s="19" t="s">
        <v>271</v>
      </c>
    </row>
    <row r="121" ht="16.95" spans="1:5">
      <c r="A121" s="20" t="s">
        <v>256</v>
      </c>
      <c r="B121" s="21"/>
      <c r="C121" s="22"/>
    </row>
    <row r="122" ht="17.7" spans="1:5">
      <c r="A122" s="11" t="s">
        <v>253</v>
      </c>
      <c r="B122" s="12"/>
      <c r="C122" s="13"/>
    </row>
    <row r="123" ht="16.95" spans="1:5">
      <c r="A123" s="14" t="str">
        <f>CONCATENATE("&lt;loc&gt;",B123,"&lt;/loc&gt;")</f>
        <v>&lt;loc&gt;https://eduardoherreraf.github.io/javascript-configurar_el_entorno_de_trabajo_javascript.html&lt;/loc&gt;</v>
      </c>
      <c r="B123" s="15" t="str">
        <f>CONCATENATE($C$5,C123)</f>
        <v>https://eduardoherreraf.github.io/javascript-configurar_el_entorno_de_trabajo_javascript.html</v>
      </c>
      <c r="C123" s="19" t="s">
        <v>282</v>
      </c>
      <c r="D123" s="6" t="s">
        <v>283</v>
      </c>
    </row>
    <row r="124" spans="1:5">
      <c r="A124" s="14" t="str">
        <f>CONCATENATE("&lt;lastmod&gt;",B124,"&lt;/lastmod&gt;")</f>
        <v>&lt;lastmod&gt;2025-10-31T15:17:38-05:00&lt;/lastmod&gt;</v>
      </c>
      <c r="B124" s="15" t="str">
        <f>$C$1</f>
        <v>2025-10-31T15:17:38-05:00</v>
      </c>
      <c r="C124" s="18"/>
      <c r="E124" s="17"/>
    </row>
    <row r="125" ht="16.95" spans="1:5">
      <c r="A125" s="14" t="str">
        <f>CONCATENATE("&lt;changefreq&gt;",B125,"&lt;/changefreq&gt;")</f>
        <v>&lt;changefreq&gt;yearly&lt;/changefreq&gt;</v>
      </c>
      <c r="B125" s="15" t="s">
        <v>255</v>
      </c>
      <c r="C125" s="18"/>
      <c r="E125" s="17"/>
    </row>
    <row r="126" ht="16.95" spans="1:5">
      <c r="A126" s="14" t="str">
        <f>CONCATENATE("&lt;priority&gt;",B126,"&lt;/priority&gt;")</f>
        <v>&lt;priority&gt;0.6&lt;/priority&gt;</v>
      </c>
      <c r="B126" s="15" t="str">
        <f>C126</f>
        <v>0.6</v>
      </c>
      <c r="C126" s="19" t="s">
        <v>271</v>
      </c>
      <c r="E126" s="17"/>
    </row>
    <row r="127" ht="16.95" spans="1:5">
      <c r="A127" s="20" t="s">
        <v>256</v>
      </c>
      <c r="B127" s="21"/>
      <c r="C127" s="22"/>
    </row>
    <row r="128" ht="17.7" spans="1:5">
      <c r="A128" s="23" t="s">
        <v>284</v>
      </c>
      <c r="B128" s="23"/>
      <c r="C128" s="23"/>
    </row>
    <row r="129" ht="17.7" spans="1:5">
      <c r="A129" s="11" t="s">
        <v>253</v>
      </c>
      <c r="B129" s="12"/>
      <c r="C129" s="13"/>
    </row>
    <row r="130" ht="16.95" spans="1:5">
      <c r="A130" s="14" t="str">
        <f>CONCATENATE("&lt;loc&gt;",B130,"&lt;/loc&gt;")</f>
        <v>&lt;loc&gt;https://eduardoherreraf.github.io/photoshop-16_metadatos_y_exportacion.html&lt;/loc&gt;</v>
      </c>
      <c r="B130" s="15" t="str">
        <f>CONCATENATE($C$5,C130)</f>
        <v>https://eduardoherreraf.github.io/photoshop-16_metadatos_y_exportacion.html</v>
      </c>
      <c r="C130" s="19" t="s">
        <v>285</v>
      </c>
      <c r="E130" s="17"/>
    </row>
    <row r="131" spans="1:5">
      <c r="A131" s="14" t="str">
        <f>CONCATENATE("&lt;lastmod&gt;",B131,"&lt;/lastmod&gt;")</f>
        <v>&lt;lastmod&gt;2025-10-31T15:17:38-05:00&lt;/lastmod&gt;</v>
      </c>
      <c r="B131" s="15" t="str">
        <f>$C$1</f>
        <v>2025-10-31T15:17:38-05:00</v>
      </c>
      <c r="C131" s="18"/>
      <c r="E131" s="17"/>
    </row>
    <row r="132" ht="16.95" spans="1:5">
      <c r="A132" s="14" t="str">
        <f>CONCATENATE("&lt;changefreq&gt;",B132,"&lt;/changefreq&gt;")</f>
        <v>&lt;changefreq&gt;yearly&lt;/changefreq&gt;</v>
      </c>
      <c r="B132" s="15" t="s">
        <v>255</v>
      </c>
      <c r="C132" s="18"/>
      <c r="E132" s="17"/>
    </row>
    <row r="133" ht="16.95" spans="1:5">
      <c r="A133" s="14" t="str">
        <f>CONCATENATE("&lt;priority&gt;",B133,"&lt;/priority&gt;")</f>
        <v>&lt;priority&gt;0.6&lt;/priority&gt;</v>
      </c>
      <c r="B133" s="15" t="str">
        <f>C133</f>
        <v>0.6</v>
      </c>
      <c r="C133" s="19" t="s">
        <v>271</v>
      </c>
    </row>
    <row r="134" ht="16.95" spans="1:5">
      <c r="A134" s="20" t="s">
        <v>256</v>
      </c>
      <c r="B134" s="21"/>
      <c r="C134" s="22"/>
    </row>
    <row r="135" ht="17.7" spans="1:5">
      <c r="A135" s="11" t="s">
        <v>253</v>
      </c>
      <c r="B135" s="12"/>
      <c r="C135" s="13"/>
    </row>
    <row r="136" ht="16.95" spans="1:5">
      <c r="A136" s="14" t="str">
        <f>CONCATENATE("&lt;loc&gt;",B136,"&lt;/loc&gt;")</f>
        <v>&lt;loc&gt;https://eduardoherreraf.github.io/photoshop-15_filtros_licuar.html&lt;/loc&gt;</v>
      </c>
      <c r="B136" s="15" t="str">
        <f>CONCATENATE($C$5,C136)</f>
        <v>https://eduardoherreraf.github.io/photoshop-15_filtros_licuar.html</v>
      </c>
      <c r="C136" s="19" t="s">
        <v>286</v>
      </c>
      <c r="E136" s="17"/>
    </row>
    <row r="137" spans="1:5">
      <c r="A137" s="14" t="str">
        <f>CONCATENATE("&lt;lastmod&gt;",B137,"&lt;/lastmod&gt;")</f>
        <v>&lt;lastmod&gt;2025-10-31T15:17:38-05:00&lt;/lastmod&gt;</v>
      </c>
      <c r="B137" s="15" t="str">
        <f>$C$1</f>
        <v>2025-10-31T15:17:38-05:00</v>
      </c>
      <c r="C137" s="18"/>
      <c r="E137" s="17"/>
    </row>
    <row r="138" ht="16.95" spans="1:5">
      <c r="A138" s="14" t="str">
        <f>CONCATENATE("&lt;changefreq&gt;",B138,"&lt;/changefreq&gt;")</f>
        <v>&lt;changefreq&gt;yearly&lt;/changefreq&gt;</v>
      </c>
      <c r="B138" s="15" t="s">
        <v>255</v>
      </c>
      <c r="C138" s="18"/>
      <c r="E138" s="17"/>
    </row>
    <row r="139" ht="16.95" spans="1:5">
      <c r="A139" s="14" t="str">
        <f>CONCATENATE("&lt;priority&gt;",B139,"&lt;/priority&gt;")</f>
        <v>&lt;priority&gt;0.6&lt;/priority&gt;</v>
      </c>
      <c r="B139" s="15" t="str">
        <f>C139</f>
        <v>0.6</v>
      </c>
      <c r="C139" s="19" t="s">
        <v>271</v>
      </c>
    </row>
    <row r="140" ht="16.95" spans="1:5">
      <c r="A140" s="20" t="s">
        <v>256</v>
      </c>
      <c r="B140" s="21"/>
      <c r="C140" s="22"/>
    </row>
    <row r="141" ht="17.7" spans="1:5">
      <c r="A141" s="11" t="s">
        <v>253</v>
      </c>
      <c r="B141" s="12"/>
      <c r="C141" s="13"/>
    </row>
    <row r="142" ht="16.95" spans="1:5">
      <c r="A142" s="14" t="str">
        <f>CONCATENATE("&lt;loc&gt;",B142,"&lt;/loc&gt;")</f>
        <v>&lt;loc&gt;https://eduardoherreraf.github.io/photoshop-14_filtros_neurales.html&lt;/loc&gt;</v>
      </c>
      <c r="B142" s="15" t="str">
        <f>CONCATENATE($C$5,C142)</f>
        <v>https://eduardoherreraf.github.io/photoshop-14_filtros_neurales.html</v>
      </c>
      <c r="C142" s="19" t="s">
        <v>287</v>
      </c>
      <c r="E142" s="17"/>
    </row>
    <row r="143" spans="1:5">
      <c r="A143" s="14" t="str">
        <f>CONCATENATE("&lt;lastmod&gt;",B143,"&lt;/lastmod&gt;")</f>
        <v>&lt;lastmod&gt;2025-10-31T15:17:38-05:00&lt;/lastmod&gt;</v>
      </c>
      <c r="B143" s="15" t="str">
        <f>$C$1</f>
        <v>2025-10-31T15:17:38-05:00</v>
      </c>
      <c r="C143" s="18"/>
      <c r="E143" s="17"/>
    </row>
    <row r="144" ht="16.95" spans="1:5">
      <c r="A144" s="14" t="str">
        <f>CONCATENATE("&lt;changefreq&gt;",B144,"&lt;/changefreq&gt;")</f>
        <v>&lt;changefreq&gt;yearly&lt;/changefreq&gt;</v>
      </c>
      <c r="B144" s="15" t="s">
        <v>255</v>
      </c>
      <c r="C144" s="18"/>
      <c r="E144" s="17"/>
    </row>
    <row r="145" ht="16.95" spans="1:5">
      <c r="A145" s="14" t="str">
        <f>CONCATENATE("&lt;priority&gt;",B145,"&lt;/priority&gt;")</f>
        <v>&lt;priority&gt;0.6&lt;/priority&gt;</v>
      </c>
      <c r="B145" s="15" t="str">
        <f>C145</f>
        <v>0.6</v>
      </c>
      <c r="C145" s="19" t="s">
        <v>271</v>
      </c>
    </row>
    <row r="146" ht="16.95" spans="1:5">
      <c r="A146" s="20" t="s">
        <v>256</v>
      </c>
      <c r="B146" s="21"/>
      <c r="C146" s="22"/>
    </row>
    <row r="147" ht="17.7" spans="1:5">
      <c r="A147" s="11" t="s">
        <v>253</v>
      </c>
      <c r="B147" s="12"/>
      <c r="C147" s="13"/>
    </row>
    <row r="148" ht="16.95" spans="1:5">
      <c r="A148" s="14" t="str">
        <f>CONCATENATE("&lt;loc&gt;",B148,"&lt;/loc&gt;")</f>
        <v>&lt;loc&gt;https://eduardoherreraf.github.io/photoshop-13_filtros.html&lt;/loc&gt;</v>
      </c>
      <c r="B148" s="15" t="str">
        <f>CONCATENATE($C$5,C148)</f>
        <v>https://eduardoherreraf.github.io/photoshop-13_filtros.html</v>
      </c>
      <c r="C148" s="19" t="s">
        <v>288</v>
      </c>
      <c r="E148" s="17"/>
    </row>
    <row r="149" spans="1:5">
      <c r="A149" s="14" t="str">
        <f>CONCATENATE("&lt;lastmod&gt;",B149,"&lt;/lastmod&gt;")</f>
        <v>&lt;lastmod&gt;2025-10-31T15:17:38-05:00&lt;/lastmod&gt;</v>
      </c>
      <c r="B149" s="15" t="str">
        <f>$C$1</f>
        <v>2025-10-31T15:17:38-05:00</v>
      </c>
      <c r="C149" s="18"/>
      <c r="E149" s="17"/>
    </row>
    <row r="150" ht="16.95" spans="1:5">
      <c r="A150" s="14" t="str">
        <f>CONCATENATE("&lt;changefreq&gt;",B150,"&lt;/changefreq&gt;")</f>
        <v>&lt;changefreq&gt;yearly&lt;/changefreq&gt;</v>
      </c>
      <c r="B150" s="15" t="s">
        <v>255</v>
      </c>
      <c r="C150" s="18"/>
      <c r="E150" s="17"/>
    </row>
    <row r="151" ht="16.95" spans="1:5">
      <c r="A151" s="14" t="str">
        <f>CONCATENATE("&lt;priority&gt;",B151,"&lt;/priority&gt;")</f>
        <v>&lt;priority&gt;0.6&lt;/priority&gt;</v>
      </c>
      <c r="B151" s="15" t="str">
        <f>C151</f>
        <v>0.6</v>
      </c>
      <c r="C151" s="19" t="s">
        <v>271</v>
      </c>
    </row>
    <row r="152" ht="16.95" spans="1:5">
      <c r="A152" s="20" t="s">
        <v>256</v>
      </c>
      <c r="B152" s="21"/>
      <c r="C152" s="22"/>
    </row>
    <row r="153" ht="17.7" spans="1:5">
      <c r="A153" s="11" t="s">
        <v>253</v>
      </c>
      <c r="B153" s="12"/>
      <c r="C153" s="13"/>
    </row>
    <row r="154" ht="16.95" spans="1:5">
      <c r="A154" s="14" t="str">
        <f>CONCATENATE("&lt;loc&gt;",B154,"&lt;/loc&gt;")</f>
        <v>&lt;loc&gt;https://eduardoherreraf.github.io/photoshop-12_formas_y_capas.html&lt;/loc&gt;</v>
      </c>
      <c r="B154" s="15" t="str">
        <f>CONCATENATE($C$5,C154)</f>
        <v>https://eduardoherreraf.github.io/photoshop-12_formas_y_capas.html</v>
      </c>
      <c r="C154" s="19" t="s">
        <v>289</v>
      </c>
      <c r="E154" s="17"/>
    </row>
    <row r="155" spans="1:5">
      <c r="A155" s="14" t="str">
        <f>CONCATENATE("&lt;lastmod&gt;",B155,"&lt;/lastmod&gt;")</f>
        <v>&lt;lastmod&gt;2025-10-31T15:17:38-05:00&lt;/lastmod&gt;</v>
      </c>
      <c r="B155" s="15" t="str">
        <f>$C$1</f>
        <v>2025-10-31T15:17:38-05:00</v>
      </c>
      <c r="C155" s="18"/>
      <c r="E155" s="17"/>
    </row>
    <row r="156" ht="16.95" spans="1:5">
      <c r="A156" s="14" t="str">
        <f>CONCATENATE("&lt;changefreq&gt;",B156,"&lt;/changefreq&gt;")</f>
        <v>&lt;changefreq&gt;yearly&lt;/changefreq&gt;</v>
      </c>
      <c r="B156" s="15" t="s">
        <v>255</v>
      </c>
      <c r="C156" s="18"/>
      <c r="E156" s="17"/>
    </row>
    <row r="157" ht="16.95" spans="1:5">
      <c r="A157" s="14" t="str">
        <f>CONCATENATE("&lt;priority&gt;",B157,"&lt;/priority&gt;")</f>
        <v>&lt;priority&gt;0.6&lt;/priority&gt;</v>
      </c>
      <c r="B157" s="15" t="str">
        <f>C157</f>
        <v>0.6</v>
      </c>
      <c r="C157" s="19" t="s">
        <v>271</v>
      </c>
    </row>
    <row r="158" ht="16.95" spans="1:5">
      <c r="A158" s="20" t="s">
        <v>256</v>
      </c>
      <c r="B158" s="21"/>
      <c r="C158" s="22"/>
    </row>
    <row r="159" ht="17.7" spans="1:5">
      <c r="A159" s="11" t="s">
        <v>253</v>
      </c>
      <c r="B159" s="12"/>
      <c r="C159" s="13"/>
    </row>
    <row r="160" ht="16.95" spans="1:5">
      <c r="A160" s="14" t="str">
        <f>CONCATENATE("&lt;loc&gt;",B160,"&lt;/loc&gt;")</f>
        <v>&lt;loc&gt;https://eduardoherreraf.github.io/photoshop-11_textos.html&lt;/loc&gt;</v>
      </c>
      <c r="B160" s="15" t="str">
        <f>CONCATENATE($C$5,C160)</f>
        <v>https://eduardoherreraf.github.io/photoshop-11_textos.html</v>
      </c>
      <c r="C160" s="19" t="s">
        <v>290</v>
      </c>
      <c r="E160" s="17"/>
    </row>
    <row r="161" spans="1:5">
      <c r="A161" s="14" t="str">
        <f>CONCATENATE("&lt;lastmod&gt;",B161,"&lt;/lastmod&gt;")</f>
        <v>&lt;lastmod&gt;2025-10-31T15:17:38-05:00&lt;/lastmod&gt;</v>
      </c>
      <c r="B161" s="15" t="str">
        <f>$C$1</f>
        <v>2025-10-31T15:17:38-05:00</v>
      </c>
      <c r="C161" s="18"/>
      <c r="E161" s="17"/>
    </row>
    <row r="162" ht="16.95" spans="1:5">
      <c r="A162" s="14" t="str">
        <f>CONCATENATE("&lt;changefreq&gt;",B162,"&lt;/changefreq&gt;")</f>
        <v>&lt;changefreq&gt;yearly&lt;/changefreq&gt;</v>
      </c>
      <c r="B162" s="15" t="s">
        <v>255</v>
      </c>
      <c r="C162" s="18"/>
      <c r="E162" s="17"/>
    </row>
    <row r="163" ht="16.95" spans="1:5">
      <c r="A163" s="14" t="str">
        <f>CONCATENATE("&lt;priority&gt;",B163,"&lt;/priority&gt;")</f>
        <v>&lt;priority&gt;0.6&lt;/priority&gt;</v>
      </c>
      <c r="B163" s="15" t="str">
        <f>C163</f>
        <v>0.6</v>
      </c>
      <c r="C163" s="19" t="s">
        <v>271</v>
      </c>
    </row>
    <row r="164" ht="16.95" spans="1:5">
      <c r="A164" s="20" t="s">
        <v>256</v>
      </c>
      <c r="B164" s="21"/>
      <c r="C164" s="22"/>
    </row>
    <row r="165" ht="17.7" spans="1:5">
      <c r="A165" s="11" t="s">
        <v>253</v>
      </c>
      <c r="B165" s="12"/>
      <c r="C165" s="13"/>
    </row>
    <row r="166" ht="16.95" spans="1:5">
      <c r="A166" s="14" t="str">
        <f>CONCATENATE("&lt;loc&gt;",B166,"&lt;/loc&gt;")</f>
        <v>&lt;loc&gt;https://eduardoherreraf.github.io/photoshop-10_color_y_degradados.html&lt;/loc&gt;</v>
      </c>
      <c r="B166" s="15" t="str">
        <f>CONCATENATE($C$5,C166)</f>
        <v>https://eduardoherreraf.github.io/photoshop-10_color_y_degradados.html</v>
      </c>
      <c r="C166" s="19" t="s">
        <v>291</v>
      </c>
      <c r="E166" s="17"/>
    </row>
    <row r="167" spans="1:5">
      <c r="A167" s="14" t="str">
        <f>CONCATENATE("&lt;lastmod&gt;",B167,"&lt;/lastmod&gt;")</f>
        <v>&lt;lastmod&gt;2025-10-31T15:17:38-05:00&lt;/lastmod&gt;</v>
      </c>
      <c r="B167" s="15" t="str">
        <f>$C$1</f>
        <v>2025-10-31T15:17:38-05:00</v>
      </c>
      <c r="C167" s="18"/>
      <c r="E167" s="17"/>
    </row>
    <row r="168" ht="16.95" spans="1:5">
      <c r="A168" s="14" t="str">
        <f>CONCATENATE("&lt;changefreq&gt;",B168,"&lt;/changefreq&gt;")</f>
        <v>&lt;changefreq&gt;yearly&lt;/changefreq&gt;</v>
      </c>
      <c r="B168" s="15" t="s">
        <v>255</v>
      </c>
      <c r="C168" s="18"/>
      <c r="E168" s="17"/>
    </row>
    <row r="169" ht="16.95" spans="1:5">
      <c r="A169" s="14" t="str">
        <f>CONCATENATE("&lt;priority&gt;",B169,"&lt;/priority&gt;")</f>
        <v>&lt;priority&gt;0.6&lt;/priority&gt;</v>
      </c>
      <c r="B169" s="15" t="str">
        <f>C169</f>
        <v>0.6</v>
      </c>
      <c r="C169" s="19" t="s">
        <v>271</v>
      </c>
    </row>
    <row r="170" ht="16.95" spans="1:5">
      <c r="A170" s="20" t="s">
        <v>256</v>
      </c>
      <c r="B170" s="21"/>
      <c r="C170" s="22"/>
    </row>
    <row r="171" ht="17.7" spans="1:5">
      <c r="A171" s="11" t="s">
        <v>253</v>
      </c>
      <c r="B171" s="12"/>
      <c r="C171" s="13"/>
    </row>
    <row r="172" ht="16.95" spans="1:5">
      <c r="A172" s="14" t="str">
        <f>CONCATENATE("&lt;loc&gt;",B172,"&lt;/loc&gt;")</f>
        <v>&lt;loc&gt;https://eduardoherreraf.github.io/photoshop-09_uso_de_pinceles.html&lt;/loc&gt;</v>
      </c>
      <c r="B172" s="15" t="str">
        <f>CONCATENATE($C$5,C172)</f>
        <v>https://eduardoherreraf.github.io/photoshop-09_uso_de_pinceles.html</v>
      </c>
      <c r="C172" s="19" t="s">
        <v>292</v>
      </c>
      <c r="E172" s="17"/>
    </row>
    <row r="173" spans="1:5">
      <c r="A173" s="14" t="str">
        <f>CONCATENATE("&lt;lastmod&gt;",B173,"&lt;/lastmod&gt;")</f>
        <v>&lt;lastmod&gt;2025-10-31T15:17:38-05:00&lt;/lastmod&gt;</v>
      </c>
      <c r="B173" s="15" t="str">
        <f>$C$1</f>
        <v>2025-10-31T15:17:38-05:00</v>
      </c>
      <c r="C173" s="18"/>
      <c r="E173" s="17"/>
    </row>
    <row r="174" ht="16.95" spans="1:5">
      <c r="A174" s="14" t="str">
        <f>CONCATENATE("&lt;changefreq&gt;",B174,"&lt;/changefreq&gt;")</f>
        <v>&lt;changefreq&gt;yearly&lt;/changefreq&gt;</v>
      </c>
      <c r="B174" s="15" t="s">
        <v>255</v>
      </c>
      <c r="C174" s="18"/>
      <c r="E174" s="17"/>
    </row>
    <row r="175" ht="16.95" spans="1:5">
      <c r="A175" s="14" t="str">
        <f>CONCATENATE("&lt;priority&gt;",B175,"&lt;/priority&gt;")</f>
        <v>&lt;priority&gt;0.6&lt;/priority&gt;</v>
      </c>
      <c r="B175" s="15" t="str">
        <f>C175</f>
        <v>0.6</v>
      </c>
      <c r="C175" s="19" t="s">
        <v>271</v>
      </c>
    </row>
    <row r="176" ht="16.95" spans="1:5">
      <c r="A176" s="20" t="s">
        <v>256</v>
      </c>
      <c r="B176" s="21"/>
      <c r="C176" s="22"/>
    </row>
    <row r="177" ht="17.7" spans="1:5">
      <c r="A177" s="11" t="s">
        <v>253</v>
      </c>
      <c r="B177" s="12"/>
      <c r="C177" s="13"/>
    </row>
    <row r="178" ht="16.95" spans="1:5">
      <c r="A178" s="14" t="str">
        <f>CONCATENATE("&lt;loc&gt;",B178,"&lt;/loc&gt;")</f>
        <v>&lt;loc&gt;https://eduardoherreraf.github.io/photoshop-08_agregar_y_quitar_objetos.html&lt;/loc&gt;</v>
      </c>
      <c r="B178" s="15" t="str">
        <f>CONCATENATE($C$5,C178)</f>
        <v>https://eduardoherreraf.github.io/photoshop-08_agregar_y_quitar_objetos.html</v>
      </c>
      <c r="C178" s="19" t="s">
        <v>293</v>
      </c>
      <c r="E178" s="17"/>
    </row>
    <row r="179" spans="1:5">
      <c r="A179" s="14" t="str">
        <f>CONCATENATE("&lt;lastmod&gt;",B179,"&lt;/lastmod&gt;")</f>
        <v>&lt;lastmod&gt;2025-10-31T15:17:38-05:00&lt;/lastmod&gt;</v>
      </c>
      <c r="B179" s="15" t="str">
        <f>$C$1</f>
        <v>2025-10-31T15:17:38-05:00</v>
      </c>
      <c r="C179" s="18"/>
      <c r="E179" s="17"/>
    </row>
    <row r="180" ht="16.95" spans="1:5">
      <c r="A180" s="14" t="str">
        <f>CONCATENATE("&lt;changefreq&gt;",B180,"&lt;/changefreq&gt;")</f>
        <v>&lt;changefreq&gt;yearly&lt;/changefreq&gt;</v>
      </c>
      <c r="B180" s="15" t="s">
        <v>255</v>
      </c>
      <c r="C180" s="18"/>
      <c r="E180" s="17"/>
    </row>
    <row r="181" ht="16.95" spans="1:5">
      <c r="A181" s="14" t="str">
        <f>CONCATENATE("&lt;priority&gt;",B181,"&lt;/priority&gt;")</f>
        <v>&lt;priority&gt;0.6&lt;/priority&gt;</v>
      </c>
      <c r="B181" s="15" t="str">
        <f>C181</f>
        <v>0.6</v>
      </c>
      <c r="C181" s="19" t="s">
        <v>271</v>
      </c>
    </row>
    <row r="182" ht="16.95" spans="1:5">
      <c r="A182" s="20" t="s">
        <v>256</v>
      </c>
      <c r="B182" s="21"/>
      <c r="C182" s="22"/>
    </row>
    <row r="183" ht="17.7" spans="1:5">
      <c r="A183" s="11" t="s">
        <v>253</v>
      </c>
      <c r="B183" s="12"/>
      <c r="C183" s="13"/>
    </row>
    <row r="184" ht="16.95" spans="1:5">
      <c r="A184" s="14" t="str">
        <f>CONCATENATE("&lt;loc&gt;",B184,"&lt;/loc&gt;")</f>
        <v>&lt;loc&gt;https://eduardoherreraf.github.io/photoshop-07_herramientas_de_seleccion.html&lt;/loc&gt;</v>
      </c>
      <c r="B184" s="15" t="str">
        <f>CONCATENATE($C$5,C184)</f>
        <v>https://eduardoherreraf.github.io/photoshop-07_herramientas_de_seleccion.html</v>
      </c>
      <c r="C184" s="19" t="s">
        <v>294</v>
      </c>
      <c r="E184" s="17"/>
    </row>
    <row r="185" spans="1:5">
      <c r="A185" s="14" t="str">
        <f>CONCATENATE("&lt;lastmod&gt;",B185,"&lt;/lastmod&gt;")</f>
        <v>&lt;lastmod&gt;2025-10-31T15:17:38-05:00&lt;/lastmod&gt;</v>
      </c>
      <c r="B185" s="15" t="str">
        <f>$C$1</f>
        <v>2025-10-31T15:17:38-05:00</v>
      </c>
      <c r="C185" s="18"/>
      <c r="E185" s="17"/>
    </row>
    <row r="186" ht="16.95" spans="1:5">
      <c r="A186" s="14" t="str">
        <f>CONCATENATE("&lt;changefreq&gt;",B186,"&lt;/changefreq&gt;")</f>
        <v>&lt;changefreq&gt;yearly&lt;/changefreq&gt;</v>
      </c>
      <c r="B186" s="15" t="s">
        <v>255</v>
      </c>
      <c r="C186" s="18"/>
      <c r="E186" s="17"/>
    </row>
    <row r="187" ht="16.95" spans="1:5">
      <c r="A187" s="14" t="str">
        <f>CONCATENATE("&lt;priority&gt;",B187,"&lt;/priority&gt;")</f>
        <v>&lt;priority&gt;0.6&lt;/priority&gt;</v>
      </c>
      <c r="B187" s="15" t="str">
        <f>C187</f>
        <v>0.6</v>
      </c>
      <c r="C187" s="19" t="s">
        <v>271</v>
      </c>
    </row>
    <row r="188" ht="16.95" spans="1:5">
      <c r="A188" s="20" t="s">
        <v>256</v>
      </c>
      <c r="B188" s="21"/>
      <c r="C188" s="22"/>
    </row>
    <row r="189" ht="17.7" spans="1:5">
      <c r="A189" s="11" t="s">
        <v>253</v>
      </c>
      <c r="B189" s="12"/>
      <c r="C189" s="13"/>
    </row>
    <row r="190" ht="16.95" spans="1:5">
      <c r="A190" s="14" t="str">
        <f>CONCATENATE("&lt;loc&gt;",B190,"&lt;/loc&gt;")</f>
        <v>&lt;loc&gt;https://eduardoherreraf.github.io/photoshop-06_ajuste_tono_brillo_y_saturacion.html&lt;/loc&gt;</v>
      </c>
      <c r="B190" s="15" t="str">
        <f>CONCATENATE($C$5,C190)</f>
        <v>https://eduardoherreraf.github.io/photoshop-06_ajuste_tono_brillo_y_saturacion.html</v>
      </c>
      <c r="C190" s="19" t="s">
        <v>295</v>
      </c>
      <c r="E190" s="17"/>
    </row>
    <row r="191" spans="1:5">
      <c r="A191" s="14" t="str">
        <f>CONCATENATE("&lt;lastmod&gt;",B191,"&lt;/lastmod&gt;")</f>
        <v>&lt;lastmod&gt;2025-10-31T15:17:38-05:00&lt;/lastmod&gt;</v>
      </c>
      <c r="B191" s="15" t="str">
        <f>$C$1</f>
        <v>2025-10-31T15:17:38-05:00</v>
      </c>
      <c r="C191" s="18"/>
      <c r="E191" s="17"/>
    </row>
    <row r="192" ht="16.95" spans="1:5">
      <c r="A192" s="14" t="str">
        <f>CONCATENATE("&lt;changefreq&gt;",B192,"&lt;/changefreq&gt;")</f>
        <v>&lt;changefreq&gt;yearly&lt;/changefreq&gt;</v>
      </c>
      <c r="B192" s="15" t="s">
        <v>255</v>
      </c>
      <c r="C192" s="18"/>
      <c r="E192" s="17"/>
    </row>
    <row r="193" ht="16.95" spans="1:5">
      <c r="A193" s="14" t="str">
        <f>CONCATENATE("&lt;priority&gt;",B193,"&lt;/priority&gt;")</f>
        <v>&lt;priority&gt;0.6&lt;/priority&gt;</v>
      </c>
      <c r="B193" s="15" t="str">
        <f>C193</f>
        <v>0.6</v>
      </c>
      <c r="C193" s="19" t="s">
        <v>271</v>
      </c>
    </row>
    <row r="194" ht="16.95" spans="1:5">
      <c r="A194" s="20" t="s">
        <v>256</v>
      </c>
      <c r="B194" s="21"/>
      <c r="C194" s="22"/>
    </row>
    <row r="195" ht="17.7" spans="1:5">
      <c r="A195" s="11" t="s">
        <v>253</v>
      </c>
      <c r="B195" s="12"/>
      <c r="C195" s="13"/>
    </row>
    <row r="196" ht="16.95" spans="1:5">
      <c r="A196" s="14" t="str">
        <f>CONCATENATE("&lt;loc&gt;",B196,"&lt;/loc&gt;")</f>
        <v>&lt;loc&gt;https://eduardoherreraf.github.io/photoshop-05_trabajo_con_capas.html&lt;/loc&gt;</v>
      </c>
      <c r="B196" s="15" t="str">
        <f>CONCATENATE($C$5,C196)</f>
        <v>https://eduardoherreraf.github.io/photoshop-05_trabajo_con_capas.html</v>
      </c>
      <c r="C196" s="19" t="s">
        <v>296</v>
      </c>
      <c r="E196" s="17"/>
    </row>
    <row r="197" spans="1:5">
      <c r="A197" s="14" t="str">
        <f>CONCATENATE("&lt;lastmod&gt;",B197,"&lt;/lastmod&gt;")</f>
        <v>&lt;lastmod&gt;2025-10-31T15:17:38-05:00&lt;/lastmod&gt;</v>
      </c>
      <c r="B197" s="15" t="str">
        <f>$C$1</f>
        <v>2025-10-31T15:17:38-05:00</v>
      </c>
      <c r="C197" s="18"/>
      <c r="E197" s="17"/>
    </row>
    <row r="198" ht="16.95" spans="1:5">
      <c r="A198" s="14" t="str">
        <f>CONCATENATE("&lt;changefreq&gt;",B198,"&lt;/changefreq&gt;")</f>
        <v>&lt;changefreq&gt;yearly&lt;/changefreq&gt;</v>
      </c>
      <c r="B198" s="15" t="s">
        <v>255</v>
      </c>
      <c r="C198" s="18"/>
      <c r="E198" s="17"/>
    </row>
    <row r="199" ht="16.95" spans="1:5">
      <c r="A199" s="14" t="str">
        <f>CONCATENATE("&lt;priority&gt;",B199,"&lt;/priority&gt;")</f>
        <v>&lt;priority&gt;0.6&lt;/priority&gt;</v>
      </c>
      <c r="B199" s="15" t="str">
        <f>C199</f>
        <v>0.6</v>
      </c>
      <c r="C199" s="19" t="s">
        <v>271</v>
      </c>
    </row>
    <row r="200" ht="16.95" spans="1:5">
      <c r="A200" s="20" t="s">
        <v>256</v>
      </c>
      <c r="B200" s="21"/>
      <c r="C200" s="22"/>
    </row>
    <row r="201" ht="17.7" spans="1:5">
      <c r="A201" s="11" t="s">
        <v>253</v>
      </c>
      <c r="B201" s="12"/>
      <c r="C201" s="13"/>
    </row>
    <row r="202" ht="16.95" spans="1:5">
      <c r="A202" s="14" t="str">
        <f>CONCATENATE("&lt;loc&gt;",B202,"&lt;/loc&gt;")</f>
        <v>&lt;loc&gt;https://eduardoherreraf.github.io/photoshop-04_ajuste_lienzo_resolucion.html&lt;/loc&gt;</v>
      </c>
      <c r="B202" s="15" t="str">
        <f>CONCATENATE($C$5,C202)</f>
        <v>https://eduardoherreraf.github.io/photoshop-04_ajuste_lienzo_resolucion.html</v>
      </c>
      <c r="C202" s="19" t="s">
        <v>297</v>
      </c>
      <c r="E202" s="17"/>
    </row>
    <row r="203" spans="1:5">
      <c r="A203" s="14" t="str">
        <f>CONCATENATE("&lt;lastmod&gt;",B203,"&lt;/lastmod&gt;")</f>
        <v>&lt;lastmod&gt;2025-10-31T15:17:38-05:00&lt;/lastmod&gt;</v>
      </c>
      <c r="B203" s="15" t="str">
        <f>$C$1</f>
        <v>2025-10-31T15:17:38-05:00</v>
      </c>
      <c r="C203" s="18"/>
      <c r="E203" s="17"/>
    </row>
    <row r="204" ht="16.95" spans="1:5">
      <c r="A204" s="14" t="str">
        <f>CONCATENATE("&lt;changefreq&gt;",B204,"&lt;/changefreq&gt;")</f>
        <v>&lt;changefreq&gt;yearly&lt;/changefreq&gt;</v>
      </c>
      <c r="B204" s="15" t="s">
        <v>255</v>
      </c>
      <c r="C204" s="18"/>
      <c r="E204" s="17"/>
    </row>
    <row r="205" ht="16.95" spans="1:5">
      <c r="A205" s="14" t="str">
        <f>CONCATENATE("&lt;priority&gt;",B205,"&lt;/priority&gt;")</f>
        <v>&lt;priority&gt;0.6&lt;/priority&gt;</v>
      </c>
      <c r="B205" s="15" t="str">
        <f>C205</f>
        <v>0.6</v>
      </c>
      <c r="C205" s="19" t="s">
        <v>271</v>
      </c>
    </row>
    <row r="206" ht="16.95" spans="1:5">
      <c r="A206" s="20" t="s">
        <v>256</v>
      </c>
      <c r="B206" s="21"/>
      <c r="C206" s="22"/>
    </row>
    <row r="207" ht="17.7" spans="1:5">
      <c r="A207" s="11" t="s">
        <v>253</v>
      </c>
      <c r="B207" s="12"/>
      <c r="C207" s="13"/>
    </row>
    <row r="208" ht="16.95" spans="1:5">
      <c r="A208" s="14" t="str">
        <f>CONCATENATE("&lt;loc&gt;",B208,"&lt;/loc&gt;")</f>
        <v>&lt;loc&gt;https://eduardoherreraf.github.io/photoshop-03_compartir_y_editar_archivos.html&lt;/loc&gt;</v>
      </c>
      <c r="B208" s="15" t="str">
        <f>CONCATENATE($C$5,C208)</f>
        <v>https://eduardoherreraf.github.io/photoshop-03_compartir_y_editar_archivos.html</v>
      </c>
      <c r="C208" s="19" t="s">
        <v>298</v>
      </c>
      <c r="E208" s="17"/>
    </row>
    <row r="209" spans="1:5">
      <c r="A209" s="14" t="str">
        <f>CONCATENATE("&lt;lastmod&gt;",B209,"&lt;/lastmod&gt;")</f>
        <v>&lt;lastmod&gt;2025-10-31T15:17:38-05:00&lt;/lastmod&gt;</v>
      </c>
      <c r="B209" s="15" t="str">
        <f>$C$1</f>
        <v>2025-10-31T15:17:38-05:00</v>
      </c>
      <c r="C209" s="18"/>
      <c r="E209" s="17"/>
    </row>
    <row r="210" ht="16.95" spans="1:5">
      <c r="A210" s="14" t="str">
        <f>CONCATENATE("&lt;changefreq&gt;",B210,"&lt;/changefreq&gt;")</f>
        <v>&lt;changefreq&gt;yearly&lt;/changefreq&gt;</v>
      </c>
      <c r="B210" s="15" t="s">
        <v>255</v>
      </c>
      <c r="C210" s="18"/>
      <c r="E210" s="17"/>
    </row>
    <row r="211" ht="16.95" spans="1:5">
      <c r="A211" s="14" t="str">
        <f>CONCATENATE("&lt;priority&gt;",B211,"&lt;/priority&gt;")</f>
        <v>&lt;priority&gt;0.6&lt;/priority&gt;</v>
      </c>
      <c r="B211" s="15" t="str">
        <f>C211</f>
        <v>0.6</v>
      </c>
      <c r="C211" s="19" t="s">
        <v>271</v>
      </c>
    </row>
    <row r="212" ht="16.95" spans="1:5">
      <c r="A212" s="20" t="s">
        <v>256</v>
      </c>
      <c r="B212" s="21"/>
      <c r="C212" s="22"/>
    </row>
    <row r="213" ht="17.7" spans="1:5">
      <c r="A213" s="11" t="s">
        <v>253</v>
      </c>
      <c r="B213" s="12"/>
      <c r="C213" s="13"/>
    </row>
    <row r="214" ht="16.95" spans="1:5">
      <c r="A214" s="14" t="str">
        <f>CONCATENATE("&lt;loc&gt;",B214,"&lt;/loc&gt;")</f>
        <v>&lt;loc&gt;https://eduardoherreraf.github.io/photoshop-02_interfaz_y_area_de_trabajo.html&lt;/loc&gt;</v>
      </c>
      <c r="B214" s="15" t="str">
        <f>CONCATENATE($C$5,C214)</f>
        <v>https://eduardoherreraf.github.io/photoshop-02_interfaz_y_area_de_trabajo.html</v>
      </c>
      <c r="C214" s="19" t="s">
        <v>299</v>
      </c>
      <c r="E214" s="17"/>
    </row>
    <row r="215" spans="1:5">
      <c r="A215" s="14" t="str">
        <f>CONCATENATE("&lt;lastmod&gt;",B215,"&lt;/lastmod&gt;")</f>
        <v>&lt;lastmod&gt;2025-10-31T15:17:38-05:00&lt;/lastmod&gt;</v>
      </c>
      <c r="B215" s="15" t="str">
        <f>$C$1</f>
        <v>2025-10-31T15:17:38-05:00</v>
      </c>
      <c r="C215" s="18"/>
      <c r="E215" s="17"/>
    </row>
    <row r="216" ht="16.95" spans="1:5">
      <c r="A216" s="14" t="str">
        <f>CONCATENATE("&lt;changefreq&gt;",B216,"&lt;/changefreq&gt;")</f>
        <v>&lt;changefreq&gt;yearly&lt;/changefreq&gt;</v>
      </c>
      <c r="B216" s="15" t="s">
        <v>255</v>
      </c>
      <c r="C216" s="18"/>
      <c r="E216" s="17"/>
    </row>
    <row r="217" ht="16.95" spans="1:5">
      <c r="A217" s="14" t="str">
        <f>CONCATENATE("&lt;priority&gt;",B217,"&lt;/priority&gt;")</f>
        <v>&lt;priority&gt;0.6&lt;/priority&gt;</v>
      </c>
      <c r="B217" s="15" t="str">
        <f>C217</f>
        <v>0.6</v>
      </c>
      <c r="C217" s="19" t="s">
        <v>271</v>
      </c>
    </row>
    <row r="218" ht="16.95" spans="1:5">
      <c r="A218" s="20" t="s">
        <v>256</v>
      </c>
      <c r="B218" s="21"/>
      <c r="C218" s="22"/>
    </row>
    <row r="219" ht="17.7" spans="1:5">
      <c r="A219" s="11" t="s">
        <v>253</v>
      </c>
      <c r="B219" s="12"/>
      <c r="C219" s="13"/>
    </row>
    <row r="220" ht="16.95" spans="1:5">
      <c r="A220" s="14" t="str">
        <f>CONCATENATE("&lt;loc&gt;",B220,"&lt;/loc&gt;")</f>
        <v>&lt;loc&gt;https://eduardoherreraf.github.io/photoshop-01_comenzando_un_proyecto.html&lt;/loc&gt;</v>
      </c>
      <c r="B220" s="15" t="str">
        <f>CONCATENATE($C$5,C220)</f>
        <v>https://eduardoherreraf.github.io/photoshop-01_comenzando_un_proyecto.html</v>
      </c>
      <c r="C220" s="19" t="s">
        <v>300</v>
      </c>
    </row>
    <row r="221" spans="1:5">
      <c r="A221" s="14" t="str">
        <f>CONCATENATE("&lt;lastmod&gt;",B221,"&lt;/lastmod&gt;")</f>
        <v>&lt;lastmod&gt;2025-10-31T15:17:38-05:00&lt;/lastmod&gt;</v>
      </c>
      <c r="B221" s="15" t="str">
        <f>$C$1</f>
        <v>2025-10-31T15:17:38-05:00</v>
      </c>
      <c r="C221" s="18"/>
      <c r="E221" s="17"/>
    </row>
    <row r="222" ht="16.95" spans="1:5">
      <c r="A222" s="14" t="str">
        <f>CONCATENATE("&lt;changefreq&gt;",B222,"&lt;/changefreq&gt;")</f>
        <v>&lt;changefreq&gt;yearly&lt;/changefreq&gt;</v>
      </c>
      <c r="B222" s="15" t="s">
        <v>255</v>
      </c>
      <c r="C222" s="18"/>
      <c r="E222" s="17"/>
    </row>
    <row r="223" ht="16.95" spans="1:5">
      <c r="A223" s="14" t="str">
        <f>CONCATENATE("&lt;priority&gt;",B223,"&lt;/priority&gt;")</f>
        <v>&lt;priority&gt;0.6&lt;/priority&gt;</v>
      </c>
      <c r="B223" s="15" t="str">
        <f>C223</f>
        <v>0.6</v>
      </c>
      <c r="C223" s="19" t="s">
        <v>271</v>
      </c>
      <c r="E223" s="17"/>
    </row>
    <row r="224" ht="16.95" spans="1:5">
      <c r="A224" s="20" t="s">
        <v>256</v>
      </c>
      <c r="B224" s="21"/>
      <c r="C224" s="22"/>
    </row>
    <row r="225" ht="17.7" spans="1:5">
      <c r="A225" s="23" t="s">
        <v>301</v>
      </c>
      <c r="B225" s="23"/>
      <c r="C225" s="23"/>
    </row>
    <row r="226" ht="17.7" spans="1:5">
      <c r="A226" s="11" t="s">
        <v>253</v>
      </c>
      <c r="B226" s="12"/>
      <c r="C226" s="13"/>
    </row>
    <row r="227" ht="16.95" spans="1:5">
      <c r="A227" s="14" t="str">
        <f>CONCATENATE("&lt;loc&gt;",B227,"&lt;/loc&gt;")</f>
        <v>&lt;loc&gt;https://eduardoherreraf.github.io/chatgpt-01_como_aprender_cualquier_habilidad_facilmente_con_chatgpt.html&lt;/loc&gt;</v>
      </c>
      <c r="B227" s="15" t="str">
        <f>CONCATENATE($C$5,C227)</f>
        <v>https://eduardoherreraf.github.io/chatgpt-01_como_aprender_cualquier_habilidad_facilmente_con_chatgpt.html</v>
      </c>
      <c r="C227" s="19" t="s">
        <v>302</v>
      </c>
      <c r="E227" s="17"/>
    </row>
    <row r="228" spans="1:5">
      <c r="A228" s="14" t="str">
        <f>CONCATENATE("&lt;lastmod&gt;",B228,"&lt;/lastmod&gt;")</f>
        <v>&lt;lastmod&gt;2025-10-31T15:17:38-05:00&lt;/lastmod&gt;</v>
      </c>
      <c r="B228" s="15" t="str">
        <f>$C$1</f>
        <v>2025-10-31T15:17:38-05:00</v>
      </c>
      <c r="C228" s="18"/>
      <c r="E228" s="17"/>
    </row>
    <row r="229" ht="16.95" spans="1:5">
      <c r="A229" s="14" t="str">
        <f>CONCATENATE("&lt;changefreq&gt;",B229,"&lt;/changefreq&gt;")</f>
        <v>&lt;changefreq&gt;yearly&lt;/changefreq&gt;</v>
      </c>
      <c r="B229" s="15" t="s">
        <v>255</v>
      </c>
      <c r="C229" s="18"/>
      <c r="E229" s="17"/>
    </row>
    <row r="230" ht="16.95" spans="1:5">
      <c r="A230" s="14" t="str">
        <f>CONCATENATE("&lt;priority&gt;",B230,"&lt;/priority&gt;")</f>
        <v>&lt;priority&gt;0.6&lt;/priority&gt;</v>
      </c>
      <c r="B230" s="15" t="str">
        <f>C230</f>
        <v>0.6</v>
      </c>
      <c r="C230" s="19" t="s">
        <v>271</v>
      </c>
    </row>
    <row r="231" ht="16.95" spans="1:5">
      <c r="A231" s="20" t="s">
        <v>256</v>
      </c>
      <c r="B231" s="21"/>
      <c r="C231" s="22"/>
    </row>
    <row r="232" ht="17.7" spans="1:5">
      <c r="A232" s="23" t="s">
        <v>303</v>
      </c>
      <c r="B232" s="23"/>
      <c r="C232" s="23"/>
    </row>
    <row r="233" ht="17.7" spans="1:5">
      <c r="A233" s="11" t="s">
        <v>253</v>
      </c>
      <c r="B233" s="12"/>
      <c r="C233" s="13"/>
    </row>
    <row r="234" ht="16.95" spans="1:5">
      <c r="A234" s="14" t="str">
        <f>CONCATENATE("&lt;loc&gt;",B234,"&lt;/loc&gt;")</f>
        <v>&lt;loc&gt;https://eduardoherreraf.github.io/otrosTemas-01_como_borrar_la_cache_y_archivos_basura_en_windows.html&lt;/loc&gt;</v>
      </c>
      <c r="B234" s="15" t="str">
        <f>CONCATENATE($C$5,C234)</f>
        <v>https://eduardoherreraf.github.io/otrosTemas-01_como_borrar_la_cache_y_archivos_basura_en_windows.html</v>
      </c>
      <c r="C234" s="19" t="s">
        <v>304</v>
      </c>
    </row>
    <row r="235" spans="1:5">
      <c r="A235" s="14" t="str">
        <f>CONCATENATE("&lt;lastmod&gt;",B235,"&lt;/lastmod&gt;")</f>
        <v>&lt;lastmod&gt;2025-10-31T15:17:38-05:00&lt;/lastmod&gt;</v>
      </c>
      <c r="B235" s="15" t="str">
        <f>$C$1</f>
        <v>2025-10-31T15:17:38-05:00</v>
      </c>
      <c r="C235" s="18"/>
      <c r="E235" s="17"/>
    </row>
    <row r="236" ht="16.95" spans="1:5">
      <c r="A236" s="14" t="str">
        <f>CONCATENATE("&lt;changefreq&gt;",B236,"&lt;/changefreq&gt;")</f>
        <v>&lt;changefreq&gt;yearly&lt;/changefreq&gt;</v>
      </c>
      <c r="B236" s="15" t="s">
        <v>255</v>
      </c>
      <c r="C236" s="18"/>
      <c r="E236" s="17"/>
    </row>
    <row r="237" ht="16.95" spans="1:5">
      <c r="A237" s="14" t="str">
        <f>CONCATENATE("&lt;priority&gt;",B237,"&lt;/priority&gt;")</f>
        <v>&lt;priority&gt;0.6&lt;/priority&gt;</v>
      </c>
      <c r="B237" s="15" t="str">
        <f>C237</f>
        <v>0.6</v>
      </c>
      <c r="C237" s="19" t="s">
        <v>271</v>
      </c>
      <c r="E237" s="17"/>
    </row>
    <row r="238" ht="16.95" spans="1:5">
      <c r="A238" s="20" t="s">
        <v>256</v>
      </c>
      <c r="B238" s="21"/>
      <c r="C238" s="22"/>
    </row>
    <row r="239" ht="17.7" spans="1:5">
      <c r="A239" s="23" t="s">
        <v>305</v>
      </c>
      <c r="B239" s="23"/>
      <c r="C239" s="23"/>
    </row>
    <row r="240" ht="17.7" spans="1:5">
      <c r="A240" s="11" t="s">
        <v>253</v>
      </c>
      <c r="B240" s="12"/>
      <c r="C240" s="13"/>
    </row>
    <row r="241" ht="16.95" spans="1:5">
      <c r="A241" s="14" t="str">
        <f>CONCATENATE("&lt;loc&gt;",B241,"&lt;/loc&gt;")</f>
        <v>&lt;loc&gt;https://eduardoherreraf.github.io/cursoPython3-0101_introduccion.html&lt;/loc&gt;</v>
      </c>
      <c r="B241" s="15" t="str">
        <f>CONCATENATE($C$5,C241)</f>
        <v>https://eduardoherreraf.github.io/cursoPython3-0101_introduccion.html</v>
      </c>
      <c r="C241" s="19" t="s">
        <v>306</v>
      </c>
      <c r="E241" s="17"/>
    </row>
    <row r="242" spans="1:5">
      <c r="A242" s="14" t="str">
        <f>CONCATENATE("&lt;lastmod&gt;",B242,"&lt;/lastmod&gt;")</f>
        <v>&lt;lastmod&gt;2025-10-31T15:17:38-05:00&lt;/lastmod&gt;</v>
      </c>
      <c r="B242" s="15" t="str">
        <f>$C$1</f>
        <v>2025-10-31T15:17:38-05:00</v>
      </c>
      <c r="C242" s="18"/>
      <c r="E242" s="17"/>
    </row>
    <row r="243" ht="16.95" spans="1:5">
      <c r="A243" s="14" t="str">
        <f>CONCATENATE("&lt;changefreq&gt;",B243,"&lt;/changefreq&gt;")</f>
        <v>&lt;changefreq&gt;yearly&lt;/changefreq&gt;</v>
      </c>
      <c r="B243" s="15" t="s">
        <v>255</v>
      </c>
      <c r="C243" s="18"/>
      <c r="E243" s="17"/>
    </row>
    <row r="244" ht="16.95" spans="1:5">
      <c r="A244" s="14" t="str">
        <f>CONCATENATE("&lt;priority&gt;",B244,"&lt;/priority&gt;")</f>
        <v>&lt;priority&gt;0.6&lt;/priority&gt;</v>
      </c>
      <c r="B244" s="15" t="str">
        <f>C244</f>
        <v>0.6</v>
      </c>
      <c r="C244" s="19" t="s">
        <v>271</v>
      </c>
    </row>
    <row r="245" ht="16.95" spans="1:5">
      <c r="A245" s="20" t="s">
        <v>256</v>
      </c>
      <c r="B245" s="21"/>
      <c r="C245" s="22"/>
    </row>
    <row r="246" ht="17.7" spans="1:5">
      <c r="A246" s="11" t="s">
        <v>253</v>
      </c>
      <c r="B246" s="12"/>
      <c r="C246" s="13"/>
    </row>
    <row r="247" ht="16.95" spans="1:5">
      <c r="A247" s="14" t="str">
        <f>CONCATENATE("&lt;loc&gt;",B247,"&lt;/loc&gt;")</f>
        <v>&lt;loc&gt;https://eduardoherreraf.github.io/cursoPython3-0102_instalacion_de_python_localmente.html&lt;/loc&gt;</v>
      </c>
      <c r="B247" s="15" t="str">
        <f>CONCATENATE($C$5,C247)</f>
        <v>https://eduardoherreraf.github.io/cursoPython3-0102_instalacion_de_python_localmente.html</v>
      </c>
      <c r="C247" s="19" t="s">
        <v>307</v>
      </c>
      <c r="E247" s="17"/>
    </row>
    <row r="248" spans="1:5">
      <c r="A248" s="14" t="str">
        <f>CONCATENATE("&lt;lastmod&gt;",B248,"&lt;/lastmod&gt;")</f>
        <v>&lt;lastmod&gt;2025-10-31T15:17:38-05:00&lt;/lastmod&gt;</v>
      </c>
      <c r="B248" s="15" t="str">
        <f>$C$1</f>
        <v>2025-10-31T15:17:38-05:00</v>
      </c>
      <c r="C248" s="18"/>
      <c r="E248" s="17"/>
    </row>
    <row r="249" ht="16.95" spans="1:5">
      <c r="A249" s="14" t="str">
        <f>CONCATENATE("&lt;changefreq&gt;",B249,"&lt;/changefreq&gt;")</f>
        <v>&lt;changefreq&gt;yearly&lt;/changefreq&gt;</v>
      </c>
      <c r="B249" s="15" t="s">
        <v>255</v>
      </c>
      <c r="C249" s="18"/>
      <c r="E249" s="17"/>
    </row>
    <row r="250" ht="16.95" spans="1:5">
      <c r="A250" s="14" t="str">
        <f>CONCATENATE("&lt;priority&gt;",B250,"&lt;/priority&gt;")</f>
        <v>&lt;priority&gt;0.6&lt;/priority&gt;</v>
      </c>
      <c r="B250" s="15" t="str">
        <f>C250</f>
        <v>0.6</v>
      </c>
      <c r="C250" s="19" t="s">
        <v>271</v>
      </c>
    </row>
    <row r="251" ht="16.95" spans="1:5">
      <c r="A251" s="20" t="s">
        <v>256</v>
      </c>
      <c r="B251" s="21"/>
      <c r="C251" s="22"/>
    </row>
    <row r="252" ht="17.7" spans="1:5">
      <c r="A252" s="11" t="s">
        <v>253</v>
      </c>
      <c r="B252" s="12"/>
      <c r="C252" s="13"/>
    </row>
    <row r="253" ht="16.95" spans="1:5">
      <c r="A253" s="14" t="str">
        <f>CONCATENATE("&lt;loc&gt;",B253,"&lt;/loc&gt;")</f>
        <v>&lt;loc&gt;https://eduardoherreraf.github.io/cursoPython3-0201_funcion_print.html&lt;/loc&gt;</v>
      </c>
      <c r="B253" s="15" t="str">
        <f>CONCATENATE($C$5,C253)</f>
        <v>https://eduardoherreraf.github.io/cursoPython3-0201_funcion_print.html</v>
      </c>
      <c r="C253" s="19" t="s">
        <v>308</v>
      </c>
      <c r="E253" s="17"/>
    </row>
    <row r="254" spans="1:5">
      <c r="A254" s="14" t="str">
        <f>CONCATENATE("&lt;lastmod&gt;",B254,"&lt;/lastmod&gt;")</f>
        <v>&lt;lastmod&gt;2025-10-31T15:17:38-05:00&lt;/lastmod&gt;</v>
      </c>
      <c r="B254" s="15" t="str">
        <f>$C$1</f>
        <v>2025-10-31T15:17:38-05:00</v>
      </c>
      <c r="C254" s="18"/>
      <c r="E254" s="17"/>
    </row>
    <row r="255" ht="16.95" spans="1:5">
      <c r="A255" s="14" t="str">
        <f>CONCATENATE("&lt;changefreq&gt;",B255,"&lt;/changefreq&gt;")</f>
        <v>&lt;changefreq&gt;yearly&lt;/changefreq&gt;</v>
      </c>
      <c r="B255" s="15" t="s">
        <v>255</v>
      </c>
      <c r="C255" s="18"/>
      <c r="E255" s="17"/>
    </row>
    <row r="256" ht="16.95" spans="1:5">
      <c r="A256" s="14" t="str">
        <f>CONCATENATE("&lt;priority&gt;",B256,"&lt;/priority&gt;")</f>
        <v>&lt;priority&gt;0.6&lt;/priority&gt;</v>
      </c>
      <c r="B256" s="15" t="str">
        <f>C256</f>
        <v>0.6</v>
      </c>
      <c r="C256" s="19" t="s">
        <v>271</v>
      </c>
    </row>
    <row r="257" ht="16.95" spans="1:5">
      <c r="A257" s="20" t="s">
        <v>256</v>
      </c>
      <c r="B257" s="21"/>
      <c r="C257" s="22"/>
    </row>
    <row r="258" ht="17.7" spans="1:5">
      <c r="A258" s="11" t="s">
        <v>253</v>
      </c>
      <c r="B258" s="12"/>
      <c r="C258" s="13"/>
    </row>
    <row r="259" ht="16.95" spans="1:5">
      <c r="A259" s="14" t="str">
        <f>CONCATENATE("&lt;loc&gt;",B259,"&lt;/loc&gt;")</f>
        <v>&lt;loc&gt;https://eduardoherreraf.github.io/cursoPython3-0202_literales.html&lt;/loc&gt;</v>
      </c>
      <c r="B259" s="15" t="str">
        <f>CONCATENATE($C$5,C259)</f>
        <v>https://eduardoherreraf.github.io/cursoPython3-0202_literales.html</v>
      </c>
      <c r="C259" s="19" t="s">
        <v>309</v>
      </c>
      <c r="E259" s="17"/>
    </row>
    <row r="260" spans="1:5">
      <c r="A260" s="14" t="str">
        <f>CONCATENATE("&lt;lastmod&gt;",B260,"&lt;/lastmod&gt;")</f>
        <v>&lt;lastmod&gt;2025-10-31T15:17:38-05:00&lt;/lastmod&gt;</v>
      </c>
      <c r="B260" s="15" t="str">
        <f>$C$1</f>
        <v>2025-10-31T15:17:38-05:00</v>
      </c>
      <c r="C260" s="18"/>
      <c r="E260" s="17"/>
    </row>
    <row r="261" ht="16.95" spans="1:5">
      <c r="A261" s="14" t="str">
        <f>CONCATENATE("&lt;changefreq&gt;",B261,"&lt;/changefreq&gt;")</f>
        <v>&lt;changefreq&gt;yearly&lt;/changefreq&gt;</v>
      </c>
      <c r="B261" s="15" t="s">
        <v>255</v>
      </c>
      <c r="C261" s="18"/>
      <c r="E261" s="17"/>
    </row>
    <row r="262" ht="16.95" spans="1:5">
      <c r="A262" s="14" t="str">
        <f>CONCATENATE("&lt;priority&gt;",B262,"&lt;/priority&gt;")</f>
        <v>&lt;priority&gt;0.6&lt;/priority&gt;</v>
      </c>
      <c r="B262" s="15" t="str">
        <f>C262</f>
        <v>0.6</v>
      </c>
      <c r="C262" s="19" t="s">
        <v>271</v>
      </c>
    </row>
    <row r="263" ht="16.95" spans="1:5">
      <c r="A263" s="20" t="s">
        <v>256</v>
      </c>
      <c r="B263" s="21"/>
      <c r="C263" s="22"/>
    </row>
    <row r="264" ht="17.7" spans="1:5">
      <c r="A264" s="11" t="s">
        <v>253</v>
      </c>
      <c r="B264" s="12"/>
      <c r="C264" s="13"/>
    </row>
    <row r="265" ht="16.95" spans="1:5">
      <c r="A265" s="14" t="str">
        <f>CONCATENATE("&lt;loc&gt;",B265,"&lt;/loc&gt;")</f>
        <v>&lt;loc&gt;https://eduardoherreraf.github.io/cursoPython3-0203_operadores.html&lt;/loc&gt;</v>
      </c>
      <c r="B265" s="15" t="str">
        <f>CONCATENATE($C$5,C265)</f>
        <v>https://eduardoherreraf.github.io/cursoPython3-0203_operadores.html</v>
      </c>
      <c r="C265" s="19" t="s">
        <v>310</v>
      </c>
      <c r="E265" s="17"/>
    </row>
    <row r="266" spans="1:5">
      <c r="A266" s="14" t="str">
        <f>CONCATENATE("&lt;lastmod&gt;",B266,"&lt;/lastmod&gt;")</f>
        <v>&lt;lastmod&gt;2025-10-31T15:17:38-05:00&lt;/lastmod&gt;</v>
      </c>
      <c r="B266" s="15" t="str">
        <f>$C$1</f>
        <v>2025-10-31T15:17:38-05:00</v>
      </c>
      <c r="C266" s="18"/>
      <c r="E266" s="17"/>
    </row>
    <row r="267" ht="16.95" spans="1:5">
      <c r="A267" s="14" t="str">
        <f>CONCATENATE("&lt;changefreq&gt;",B267,"&lt;/changefreq&gt;")</f>
        <v>&lt;changefreq&gt;yearly&lt;/changefreq&gt;</v>
      </c>
      <c r="B267" s="15" t="s">
        <v>255</v>
      </c>
      <c r="C267" s="18"/>
      <c r="E267" s="17"/>
    </row>
    <row r="268" ht="16.95" spans="1:5">
      <c r="A268" s="14" t="str">
        <f>CONCATENATE("&lt;priority&gt;",B268,"&lt;/priority&gt;")</f>
        <v>&lt;priority&gt;0.6&lt;/priority&gt;</v>
      </c>
      <c r="B268" s="15" t="str">
        <f>C268</f>
        <v>0.6</v>
      </c>
      <c r="C268" s="19" t="s">
        <v>271</v>
      </c>
    </row>
    <row r="269" ht="16.95" spans="1:5">
      <c r="A269" s="20" t="s">
        <v>256</v>
      </c>
      <c r="B269" s="21"/>
      <c r="C269" s="22"/>
    </row>
    <row r="270" ht="17.7" spans="1:5">
      <c r="A270" s="11" t="s">
        <v>253</v>
      </c>
      <c r="B270" s="12"/>
      <c r="C270" s="13"/>
    </row>
    <row r="271" ht="16.95" spans="1:5">
      <c r="A271" s="14" t="str">
        <f>CONCATENATE("&lt;loc&gt;",B271,"&lt;/loc&gt;")</f>
        <v>&lt;loc&gt;https://eduardoherreraf.github.io/cursoPython3-0204_variables.html&lt;/loc&gt;</v>
      </c>
      <c r="B271" s="15" t="str">
        <f>CONCATENATE($C$5,C271)</f>
        <v>https://eduardoherreraf.github.io/cursoPython3-0204_variables.html</v>
      </c>
      <c r="C271" s="19" t="s">
        <v>311</v>
      </c>
      <c r="E271" s="17"/>
    </row>
    <row r="272" spans="1:5">
      <c r="A272" s="14" t="str">
        <f>CONCATENATE("&lt;lastmod&gt;",B272,"&lt;/lastmod&gt;")</f>
        <v>&lt;lastmod&gt;2025-10-31T15:17:38-05:00&lt;/lastmod&gt;</v>
      </c>
      <c r="B272" s="15" t="str">
        <f>$C$1</f>
        <v>2025-10-31T15:17:38-05:00</v>
      </c>
      <c r="C272" s="18"/>
      <c r="E272" s="17"/>
    </row>
    <row r="273" ht="16.95" spans="1:5">
      <c r="A273" s="14" t="str">
        <f>CONCATENATE("&lt;changefreq&gt;",B273,"&lt;/changefreq&gt;")</f>
        <v>&lt;changefreq&gt;yearly&lt;/changefreq&gt;</v>
      </c>
      <c r="B273" s="15" t="s">
        <v>255</v>
      </c>
      <c r="C273" s="18"/>
      <c r="E273" s="17"/>
    </row>
    <row r="274" ht="16.95" spans="1:5">
      <c r="A274" s="14" t="str">
        <f>CONCATENATE("&lt;priority&gt;",B274,"&lt;/priority&gt;")</f>
        <v>&lt;priority&gt;0.6&lt;/priority&gt;</v>
      </c>
      <c r="B274" s="15" t="str">
        <f>C274</f>
        <v>0.6</v>
      </c>
      <c r="C274" s="19" t="s">
        <v>271</v>
      </c>
    </row>
    <row r="275" ht="16.95" spans="1:5">
      <c r="A275" s="20" t="s">
        <v>256</v>
      </c>
      <c r="B275" s="21"/>
      <c r="C275" s="22"/>
    </row>
    <row r="276" ht="17.7" spans="1:5">
      <c r="A276" s="11" t="s">
        <v>253</v>
      </c>
      <c r="B276" s="12"/>
      <c r="C276" s="13"/>
    </row>
    <row r="277" ht="16.95" spans="1:5">
      <c r="A277" s="14" t="str">
        <f>CONCATENATE("&lt;loc&gt;",B277,"&lt;/loc&gt;")</f>
        <v>&lt;loc&gt;https://eduardoherreraf.github.io/cursoPython3-0205_comentarios.html&lt;/loc&gt;</v>
      </c>
      <c r="B277" s="15" t="str">
        <f>CONCATENATE($C$5,C277)</f>
        <v>https://eduardoherreraf.github.io/cursoPython3-0205_comentarios.html</v>
      </c>
      <c r="C277" s="19" t="s">
        <v>312</v>
      </c>
      <c r="E277" s="17"/>
    </row>
    <row r="278" spans="1:5">
      <c r="A278" s="14" t="str">
        <f>CONCATENATE("&lt;lastmod&gt;",B278,"&lt;/lastmod&gt;")</f>
        <v>&lt;lastmod&gt;2025-10-31T15:17:38-05:00&lt;/lastmod&gt;</v>
      </c>
      <c r="B278" s="15" t="str">
        <f>$C$1</f>
        <v>2025-10-31T15:17:38-05:00</v>
      </c>
      <c r="C278" s="18"/>
      <c r="E278" s="17"/>
    </row>
    <row r="279" ht="16.95" spans="1:5">
      <c r="A279" s="14" t="str">
        <f>CONCATENATE("&lt;changefreq&gt;",B279,"&lt;/changefreq&gt;")</f>
        <v>&lt;changefreq&gt;yearly&lt;/changefreq&gt;</v>
      </c>
      <c r="B279" s="15" t="s">
        <v>255</v>
      </c>
      <c r="C279" s="18"/>
      <c r="E279" s="17"/>
    </row>
    <row r="280" ht="16.95" spans="1:5">
      <c r="A280" s="14" t="str">
        <f>CONCATENATE("&lt;priority&gt;",B280,"&lt;/priority&gt;")</f>
        <v>&lt;priority&gt;0.6&lt;/priority&gt;</v>
      </c>
      <c r="B280" s="15" t="str">
        <f>C280</f>
        <v>0.6</v>
      </c>
      <c r="C280" s="19" t="s">
        <v>271</v>
      </c>
    </row>
    <row r="281" ht="16.95" spans="1:5">
      <c r="A281" s="20" t="s">
        <v>256</v>
      </c>
      <c r="B281" s="21"/>
      <c r="C281" s="22"/>
    </row>
    <row r="282" ht="17.7" spans="1:5">
      <c r="A282" s="11" t="s">
        <v>253</v>
      </c>
      <c r="B282" s="12"/>
      <c r="C282" s="13"/>
    </row>
    <row r="283" ht="16.95" spans="1:5">
      <c r="A283" s="14" t="str">
        <f>CONCATENATE("&lt;loc&gt;",B283,"&lt;/loc&gt;")</f>
        <v>&lt;loc&gt;https://eduardoherreraf.github.io/cursoPython3-0206_interaccion_con_el_usuario.html&lt;/loc&gt;</v>
      </c>
      <c r="B283" s="15" t="str">
        <f>CONCATENATE($C$5,C283)</f>
        <v>https://eduardoherreraf.github.io/cursoPython3-0206_interaccion_con_el_usuario.html</v>
      </c>
      <c r="C283" s="19" t="s">
        <v>313</v>
      </c>
      <c r="E283" s="17"/>
    </row>
    <row r="284" spans="1:5">
      <c r="A284" s="14" t="str">
        <f>CONCATENATE("&lt;lastmod&gt;",B284,"&lt;/lastmod&gt;")</f>
        <v>&lt;lastmod&gt;2025-10-31T15:17:38-05:00&lt;/lastmod&gt;</v>
      </c>
      <c r="B284" s="15" t="str">
        <f>$C$1</f>
        <v>2025-10-31T15:17:38-05:00</v>
      </c>
      <c r="C284" s="18"/>
      <c r="E284" s="17"/>
    </row>
    <row r="285" ht="16.95" spans="1:5">
      <c r="A285" s="14" t="str">
        <f>CONCATENATE("&lt;changefreq&gt;",B285,"&lt;/changefreq&gt;")</f>
        <v>&lt;changefreq&gt;yearly&lt;/changefreq&gt;</v>
      </c>
      <c r="B285" s="15" t="s">
        <v>255</v>
      </c>
      <c r="C285" s="18"/>
      <c r="E285" s="17"/>
    </row>
    <row r="286" ht="16.95" spans="1:5">
      <c r="A286" s="14" t="str">
        <f>CONCATENATE("&lt;priority&gt;",B286,"&lt;/priority&gt;")</f>
        <v>&lt;priority&gt;0.6&lt;/priority&gt;</v>
      </c>
      <c r="B286" s="15" t="str">
        <f>C286</f>
        <v>0.6</v>
      </c>
      <c r="C286" s="19" t="s">
        <v>271</v>
      </c>
    </row>
    <row r="287" ht="16.95" spans="1:5">
      <c r="A287" s="20" t="s">
        <v>256</v>
      </c>
      <c r="B287" s="21"/>
      <c r="C287" s="22"/>
    </row>
    <row r="288" ht="17.7" spans="1:5">
      <c r="A288" s="11" t="s">
        <v>253</v>
      </c>
      <c r="B288" s="12"/>
      <c r="C288" s="13"/>
    </row>
    <row r="289" ht="16.95" spans="1:5">
      <c r="A289" s="14" t="str">
        <f>CONCATENATE("&lt;loc&gt;",B289,"&lt;/loc&gt;")</f>
        <v>&lt;loc&gt;https://eduardoherreraf.github.io/cursoPython3-0301_operadores_de_comparacion_y_logicos_en_python.html&lt;/loc&gt;</v>
      </c>
      <c r="B289" s="15" t="str">
        <f>CONCATENATE($C$5,C289)</f>
        <v>https://eduardoherreraf.github.io/cursoPython3-0301_operadores_de_comparacion_y_logicos_en_python.html</v>
      </c>
      <c r="C289" s="19" t="s">
        <v>314</v>
      </c>
      <c r="E289" s="17"/>
    </row>
    <row r="290" spans="1:5">
      <c r="A290" s="14" t="str">
        <f>CONCATENATE("&lt;lastmod&gt;",B290,"&lt;/lastmod&gt;")</f>
        <v>&lt;lastmod&gt;2025-10-31T15:17:38-05:00&lt;/lastmod&gt;</v>
      </c>
      <c r="B290" s="15" t="str">
        <f>$C$1</f>
        <v>2025-10-31T15:17:38-05:00</v>
      </c>
      <c r="C290" s="18"/>
      <c r="E290" s="17"/>
    </row>
    <row r="291" ht="16.95" spans="1:5">
      <c r="A291" s="14" t="str">
        <f>CONCATENATE("&lt;changefreq&gt;",B291,"&lt;/changefreq&gt;")</f>
        <v>&lt;changefreq&gt;yearly&lt;/changefreq&gt;</v>
      </c>
      <c r="B291" s="15" t="s">
        <v>255</v>
      </c>
      <c r="C291" s="18"/>
      <c r="E291" s="17"/>
    </row>
    <row r="292" ht="16.95" spans="1:5">
      <c r="A292" s="14" t="str">
        <f>CONCATENATE("&lt;priority&gt;",B292,"&lt;/priority&gt;")</f>
        <v>&lt;priority&gt;0.6&lt;/priority&gt;</v>
      </c>
      <c r="B292" s="15" t="str">
        <f>C292</f>
        <v>0.6</v>
      </c>
      <c r="C292" s="19" t="s">
        <v>271</v>
      </c>
    </row>
    <row r="293" ht="16.95" spans="1:5">
      <c r="A293" s="20" t="s">
        <v>256</v>
      </c>
      <c r="B293" s="21"/>
      <c r="C293" s="22"/>
    </row>
    <row r="294" ht="17.7" spans="1:5">
      <c r="A294" s="11" t="s">
        <v>253</v>
      </c>
      <c r="B294" s="12"/>
      <c r="C294" s="13"/>
    </row>
    <row r="295" ht="16.95" spans="1:5">
      <c r="A295" s="14" t="str">
        <f>CONCATENATE("&lt;loc&gt;",B295,"&lt;/loc&gt;")</f>
        <v>&lt;loc&gt;https://eduardoherreraf.github.io/cursoPython3-0302_sentencia_if_de_control_de_flujo.html&lt;/loc&gt;</v>
      </c>
      <c r="B295" s="15" t="str">
        <f>CONCATENATE($C$5,C295)</f>
        <v>https://eduardoherreraf.github.io/cursoPython3-0302_sentencia_if_de_control_de_flujo.html</v>
      </c>
      <c r="C295" s="19" t="s">
        <v>315</v>
      </c>
      <c r="E295" s="17"/>
    </row>
    <row r="296" spans="1:5">
      <c r="A296" s="14" t="str">
        <f>CONCATENATE("&lt;lastmod&gt;",B296,"&lt;/lastmod&gt;")</f>
        <v>&lt;lastmod&gt;2025-10-31T15:17:38-05:00&lt;/lastmod&gt;</v>
      </c>
      <c r="B296" s="15" t="str">
        <f>$C$1</f>
        <v>2025-10-31T15:17:38-05:00</v>
      </c>
      <c r="C296" s="18"/>
      <c r="E296" s="17"/>
    </row>
    <row r="297" ht="16.95" spans="1:5">
      <c r="A297" s="14" t="str">
        <f>CONCATENATE("&lt;changefreq&gt;",B297,"&lt;/changefreq&gt;")</f>
        <v>&lt;changefreq&gt;yearly&lt;/changefreq&gt;</v>
      </c>
      <c r="B297" s="15" t="s">
        <v>255</v>
      </c>
      <c r="C297" s="18"/>
      <c r="E297" s="17"/>
    </row>
    <row r="298" ht="16.95" spans="1:5">
      <c r="A298" s="14" t="str">
        <f>CONCATENATE("&lt;priority&gt;",B298,"&lt;/priority&gt;")</f>
        <v>&lt;priority&gt;0.6&lt;/priority&gt;</v>
      </c>
      <c r="B298" s="15" t="str">
        <f>C298</f>
        <v>0.6</v>
      </c>
      <c r="C298" s="19" t="s">
        <v>271</v>
      </c>
    </row>
    <row r="299" ht="16.95" spans="1:5">
      <c r="A299" s="20" t="s">
        <v>256</v>
      </c>
      <c r="B299" s="21"/>
      <c r="C299" s="22"/>
    </row>
    <row r="300" ht="17.7" spans="1:5">
      <c r="A300" s="11" t="s">
        <v>253</v>
      </c>
      <c r="B300" s="12"/>
      <c r="C300" s="13"/>
    </row>
    <row r="301" ht="16.95" spans="1:5">
      <c r="A301" s="14" t="str">
        <f>CONCATENATE("&lt;loc&gt;",B301,"&lt;/loc&gt;")</f>
        <v>&lt;loc&gt;https://eduardoherreraf.github.io/cursoPython3-0303_bucles_en_python_una_guia_completa.html&lt;/loc&gt;</v>
      </c>
      <c r="B301" s="15" t="str">
        <f>CONCATENATE($C$5,C301)</f>
        <v>https://eduardoherreraf.github.io/cursoPython3-0303_bucles_en_python_una_guia_completa.html</v>
      </c>
      <c r="C301" s="19" t="s">
        <v>316</v>
      </c>
      <c r="E301" s="17"/>
    </row>
    <row r="302" spans="1:5">
      <c r="A302" s="14" t="str">
        <f>CONCATENATE("&lt;lastmod&gt;",B302,"&lt;/lastmod&gt;")</f>
        <v>&lt;lastmod&gt;2025-10-31T15:17:38-05:00&lt;/lastmod&gt;</v>
      </c>
      <c r="B302" s="15" t="str">
        <f>$C$1</f>
        <v>2025-10-31T15:17:38-05:00</v>
      </c>
      <c r="C302" s="18"/>
      <c r="E302" s="17"/>
    </row>
    <row r="303" ht="16.95" spans="1:5">
      <c r="A303" s="14" t="str">
        <f>CONCATENATE("&lt;changefreq&gt;",B303,"&lt;/changefreq&gt;")</f>
        <v>&lt;changefreq&gt;yearly&lt;/changefreq&gt;</v>
      </c>
      <c r="B303" s="15" t="s">
        <v>255</v>
      </c>
      <c r="C303" s="18"/>
      <c r="E303" s="17"/>
    </row>
    <row r="304" ht="16.95" spans="1:5">
      <c r="A304" s="14" t="str">
        <f>CONCATENATE("&lt;priority&gt;",B304,"&lt;/priority&gt;")</f>
        <v>&lt;priority&gt;0.6&lt;/priority&gt;</v>
      </c>
      <c r="B304" s="15" t="str">
        <f>C304</f>
        <v>0.6</v>
      </c>
      <c r="C304" s="19" t="s">
        <v>271</v>
      </c>
    </row>
    <row r="305" ht="16.95" spans="1:5">
      <c r="A305" s="20" t="s">
        <v>256</v>
      </c>
      <c r="B305" s="21"/>
      <c r="C305" s="22"/>
    </row>
    <row r="306" ht="17.7" spans="1:5">
      <c r="A306" s="11" t="s">
        <v>253</v>
      </c>
      <c r="B306" s="12"/>
      <c r="C306" s="13"/>
    </row>
    <row r="307" ht="16.95" spans="1:5">
      <c r="A307" s="14" t="str">
        <f>CONCATENATE("&lt;loc&gt;",B307,"&lt;/loc&gt;")</f>
        <v>&lt;loc&gt;https://eduardoherreraf.github.io/cursoPython3-0304_operadores_logicos_y_operaciones_bit_a_bit_en_python.html&lt;/loc&gt;</v>
      </c>
      <c r="B307" s="15" t="str">
        <f>CONCATENATE($C$5,C307)</f>
        <v>https://eduardoherreraf.github.io/cursoPython3-0304_operadores_logicos_y_operaciones_bit_a_bit_en_python.html</v>
      </c>
      <c r="C307" s="19" t="s">
        <v>317</v>
      </c>
      <c r="E307" s="17"/>
    </row>
    <row r="308" spans="1:5">
      <c r="A308" s="14" t="str">
        <f>CONCATENATE("&lt;lastmod&gt;",B308,"&lt;/lastmod&gt;")</f>
        <v>&lt;lastmod&gt;2025-10-31T15:17:38-05:00&lt;/lastmod&gt;</v>
      </c>
      <c r="B308" s="15" t="str">
        <f>$C$1</f>
        <v>2025-10-31T15:17:38-05:00</v>
      </c>
      <c r="C308" s="18"/>
      <c r="E308" s="17"/>
    </row>
    <row r="309" ht="16.95" spans="1:5">
      <c r="A309" s="14" t="str">
        <f>CONCATENATE("&lt;changefreq&gt;",B309,"&lt;/changefreq&gt;")</f>
        <v>&lt;changefreq&gt;yearly&lt;/changefreq&gt;</v>
      </c>
      <c r="B309" s="15" t="s">
        <v>255</v>
      </c>
      <c r="C309" s="18"/>
      <c r="E309" s="17"/>
    </row>
    <row r="310" ht="16.95" spans="1:5">
      <c r="A310" s="14" t="str">
        <f>CONCATENATE("&lt;priority&gt;",B310,"&lt;/priority&gt;")</f>
        <v>&lt;priority&gt;0.6&lt;/priority&gt;</v>
      </c>
      <c r="B310" s="15" t="str">
        <f>C310</f>
        <v>0.6</v>
      </c>
      <c r="C310" s="19" t="s">
        <v>271</v>
      </c>
    </row>
    <row r="311" ht="16.95" spans="1:5">
      <c r="A311" s="20" t="s">
        <v>256</v>
      </c>
      <c r="B311" s="21"/>
      <c r="C311" s="22"/>
    </row>
    <row r="312" ht="17.7" spans="1:5">
      <c r="A312" s="11" t="s">
        <v>253</v>
      </c>
      <c r="B312" s="12"/>
      <c r="C312" s="13"/>
    </row>
    <row r="313" ht="16.95" spans="1:5">
      <c r="A313" s="14" t="str">
        <f>CONCATENATE("&lt;loc&gt;",B313,"&lt;/loc&gt;")</f>
        <v>&lt;loc&gt;https://eduardoherreraf.github.io/cursoPython3-0305_listas.html&lt;/loc&gt;</v>
      </c>
      <c r="B313" s="15" t="str">
        <f>CONCATENATE($C$5,C313)</f>
        <v>https://eduardoherreraf.github.io/cursoPython3-0305_listas.html</v>
      </c>
      <c r="C313" s="19" t="s">
        <v>318</v>
      </c>
      <c r="E313" s="17"/>
    </row>
    <row r="314" spans="1:5">
      <c r="A314" s="14" t="str">
        <f>CONCATENATE("&lt;lastmod&gt;",B314,"&lt;/lastmod&gt;")</f>
        <v>&lt;lastmod&gt;2025-10-31T15:17:38-05:00&lt;/lastmod&gt;</v>
      </c>
      <c r="B314" s="15" t="str">
        <f>$C$1</f>
        <v>2025-10-31T15:17:38-05:00</v>
      </c>
      <c r="C314" s="18"/>
      <c r="E314" s="17"/>
    </row>
    <row r="315" ht="16.95" spans="1:5">
      <c r="A315" s="14" t="str">
        <f>CONCATENATE("&lt;changefreq&gt;",B315,"&lt;/changefreq&gt;")</f>
        <v>&lt;changefreq&gt;yearly&lt;/changefreq&gt;</v>
      </c>
      <c r="B315" s="15" t="s">
        <v>255</v>
      </c>
      <c r="C315" s="18"/>
      <c r="E315" s="17"/>
    </row>
    <row r="316" ht="16.95" spans="1:5">
      <c r="A316" s="14" t="str">
        <f>CONCATENATE("&lt;priority&gt;",B316,"&lt;/priority&gt;")</f>
        <v>&lt;priority&gt;0.6&lt;/priority&gt;</v>
      </c>
      <c r="B316" s="15" t="str">
        <f>C316</f>
        <v>0.6</v>
      </c>
      <c r="C316" s="19" t="s">
        <v>271</v>
      </c>
    </row>
    <row r="317" ht="16.95" spans="1:5">
      <c r="A317" s="20" t="s">
        <v>256</v>
      </c>
      <c r="B317" s="21"/>
      <c r="C317" s="22"/>
    </row>
    <row r="318" ht="17.7" spans="1:5">
      <c r="A318" s="11" t="s">
        <v>253</v>
      </c>
      <c r="B318" s="12"/>
      <c r="C318" s="13"/>
    </row>
    <row r="319" ht="16.95" spans="1:5">
      <c r="A319" s="14" t="str">
        <f>CONCATENATE("&lt;loc&gt;",B319,"&lt;/loc&gt;")</f>
        <v>&lt;loc&gt;https://eduardoherreraf.github.io/cursoPython3-0306_ordenamiento_de_listas_metodo_burbuja.html&lt;/loc&gt;</v>
      </c>
      <c r="B319" s="15" t="str">
        <f>CONCATENATE($C$5,C319)</f>
        <v>https://eduardoherreraf.github.io/cursoPython3-0306_ordenamiento_de_listas_metodo_burbuja.html</v>
      </c>
      <c r="C319" s="19" t="s">
        <v>319</v>
      </c>
      <c r="E319" s="17"/>
    </row>
    <row r="320" spans="1:5">
      <c r="A320" s="14" t="str">
        <f>CONCATENATE("&lt;lastmod&gt;",B320,"&lt;/lastmod&gt;")</f>
        <v>&lt;lastmod&gt;2025-10-31T15:17:38-05:00&lt;/lastmod&gt;</v>
      </c>
      <c r="B320" s="15" t="str">
        <f>$C$1</f>
        <v>2025-10-31T15:17:38-05:00</v>
      </c>
      <c r="C320" s="18"/>
      <c r="E320" s="17"/>
    </row>
    <row r="321" ht="16.95" spans="1:5">
      <c r="A321" s="14" t="str">
        <f>CONCATENATE("&lt;changefreq&gt;",B321,"&lt;/changefreq&gt;")</f>
        <v>&lt;changefreq&gt;yearly&lt;/changefreq&gt;</v>
      </c>
      <c r="B321" s="15" t="s">
        <v>255</v>
      </c>
      <c r="C321" s="18"/>
      <c r="E321" s="17"/>
    </row>
    <row r="322" ht="16.95" spans="1:5">
      <c r="A322" s="14" t="str">
        <f>CONCATENATE("&lt;priority&gt;",B322,"&lt;/priority&gt;")</f>
        <v>&lt;priority&gt;0.6&lt;/priority&gt;</v>
      </c>
      <c r="B322" s="15" t="str">
        <f>C322</f>
        <v>0.6</v>
      </c>
      <c r="C322" s="19" t="s">
        <v>271</v>
      </c>
    </row>
    <row r="323" ht="16.95" spans="1:5">
      <c r="A323" s="20" t="s">
        <v>256</v>
      </c>
      <c r="B323" s="21"/>
      <c r="C323" s="22"/>
    </row>
    <row r="324" ht="17.7" spans="1:5">
      <c r="A324" s="11" t="s">
        <v>253</v>
      </c>
      <c r="B324" s="12"/>
      <c r="C324" s="13"/>
    </row>
    <row r="325" ht="16.95" spans="1:5">
      <c r="A325" s="14" t="str">
        <f>CONCATENATE("&lt;loc&gt;",B325,"&lt;/loc&gt;")</f>
        <v>&lt;loc&gt;https://eduardoherreraf.github.io/cursoPython3-0307_operaciones_con_listas.html&lt;/loc&gt;</v>
      </c>
      <c r="B325" s="15" t="str">
        <f>CONCATENATE($C$5,C325)</f>
        <v>https://eduardoherreraf.github.io/cursoPython3-0307_operaciones_con_listas.html</v>
      </c>
      <c r="C325" s="19" t="s">
        <v>320</v>
      </c>
      <c r="E325" s="17"/>
    </row>
    <row r="326" spans="1:5">
      <c r="A326" s="14" t="str">
        <f>CONCATENATE("&lt;lastmod&gt;",B326,"&lt;/lastmod&gt;")</f>
        <v>&lt;lastmod&gt;2025-10-31T15:17:38-05:00&lt;/lastmod&gt;</v>
      </c>
      <c r="B326" s="15" t="str">
        <f>$C$1</f>
        <v>2025-10-31T15:17:38-05:00</v>
      </c>
      <c r="C326" s="18"/>
      <c r="E326" s="17"/>
    </row>
    <row r="327" ht="16.95" spans="1:5">
      <c r="A327" s="14" t="str">
        <f>CONCATENATE("&lt;changefreq&gt;",B327,"&lt;/changefreq&gt;")</f>
        <v>&lt;changefreq&gt;yearly&lt;/changefreq&gt;</v>
      </c>
      <c r="B327" s="15" t="s">
        <v>255</v>
      </c>
      <c r="C327" s="18"/>
      <c r="E327" s="17"/>
    </row>
    <row r="328" ht="16.95" spans="1:5">
      <c r="A328" s="14" t="str">
        <f>CONCATENATE("&lt;priority&gt;",B328,"&lt;/priority&gt;")</f>
        <v>&lt;priority&gt;0.6&lt;/priority&gt;</v>
      </c>
      <c r="B328" s="15" t="str">
        <f>C328</f>
        <v>0.6</v>
      </c>
      <c r="C328" s="19" t="s">
        <v>271</v>
      </c>
    </row>
    <row r="329" ht="16.95" spans="1:5">
      <c r="A329" s="20" t="s">
        <v>256</v>
      </c>
      <c r="B329" s="21"/>
      <c r="C329" s="22"/>
    </row>
    <row r="330" ht="17.7" spans="1:5">
      <c r="A330" s="11" t="s">
        <v>253</v>
      </c>
      <c r="B330" s="12"/>
      <c r="C330" s="13"/>
    </row>
    <row r="331" ht="16.95" spans="1:5">
      <c r="A331" s="14" t="str">
        <f>CONCATENATE("&lt;loc&gt;",B331,"&lt;/loc&gt;")</f>
        <v>&lt;loc&gt;https://eduardoherreraf.github.io/cursoPython3-0401_introduccion_funciones.html&lt;/loc&gt;</v>
      </c>
      <c r="B331" s="15" t="str">
        <f>CONCATENATE($C$5,C331)</f>
        <v>https://eduardoherreraf.github.io/cursoPython3-0401_introduccion_funciones.html</v>
      </c>
      <c r="C331" s="19" t="s">
        <v>321</v>
      </c>
      <c r="E331" s="17"/>
    </row>
    <row r="332" spans="1:5">
      <c r="A332" s="14" t="str">
        <f>CONCATENATE("&lt;lastmod&gt;",B332,"&lt;/lastmod&gt;")</f>
        <v>&lt;lastmod&gt;2025-10-31T15:17:38-05:00&lt;/lastmod&gt;</v>
      </c>
      <c r="B332" s="15" t="str">
        <f>$C$1</f>
        <v>2025-10-31T15:17:38-05:00</v>
      </c>
      <c r="C332" s="18"/>
      <c r="E332" s="17"/>
    </row>
    <row r="333" ht="16.95" spans="1:5">
      <c r="A333" s="14" t="str">
        <f>CONCATENATE("&lt;changefreq&gt;",B333,"&lt;/changefreq&gt;")</f>
        <v>&lt;changefreq&gt;yearly&lt;/changefreq&gt;</v>
      </c>
      <c r="B333" s="15" t="s">
        <v>255</v>
      </c>
      <c r="C333" s="18"/>
      <c r="E333" s="17"/>
    </row>
    <row r="334" ht="16.95" spans="1:5">
      <c r="A334" s="14" t="str">
        <f>CONCATENATE("&lt;priority&gt;",B334,"&lt;/priority&gt;")</f>
        <v>&lt;priority&gt;0.6&lt;/priority&gt;</v>
      </c>
      <c r="B334" s="15" t="str">
        <f>C334</f>
        <v>0.6</v>
      </c>
      <c r="C334" s="19" t="s">
        <v>271</v>
      </c>
    </row>
    <row r="335" ht="16.95" spans="1:5">
      <c r="A335" s="20" t="s">
        <v>256</v>
      </c>
      <c r="B335" s="21"/>
      <c r="C335" s="22"/>
    </row>
    <row r="336" ht="17.7" spans="1:5">
      <c r="A336" s="11" t="s">
        <v>253</v>
      </c>
      <c r="B336" s="12"/>
      <c r="C336" s="13"/>
    </row>
    <row r="337" ht="16.95" spans="1:5">
      <c r="A337" s="14" t="str">
        <f>CONCATENATE("&lt;loc&gt;",B337,"&lt;/loc&gt;")</f>
        <v>&lt;loc&gt;https://eduardoherreraf.github.io/cursoPython3-0402_como_las_funciones_se_comunican_con_su_entorno.html&lt;/loc&gt;</v>
      </c>
      <c r="B337" s="15" t="str">
        <f>CONCATENATE($C$5,C337)</f>
        <v>https://eduardoherreraf.github.io/cursoPython3-0402_como_las_funciones_se_comunican_con_su_entorno.html</v>
      </c>
      <c r="C337" s="19" t="s">
        <v>322</v>
      </c>
      <c r="E337" s="17"/>
    </row>
    <row r="338" spans="1:5">
      <c r="A338" s="14" t="str">
        <f>CONCATENATE("&lt;lastmod&gt;",B338,"&lt;/lastmod&gt;")</f>
        <v>&lt;lastmod&gt;2025-10-31T15:17:38-05:00&lt;/lastmod&gt;</v>
      </c>
      <c r="B338" s="15" t="str">
        <f>$C$1</f>
        <v>2025-10-31T15:17:38-05:00</v>
      </c>
      <c r="C338" s="18"/>
      <c r="E338" s="17"/>
    </row>
    <row r="339" ht="16.95" spans="1:5">
      <c r="A339" s="14" t="str">
        <f>CONCATENATE("&lt;changefreq&gt;",B339,"&lt;/changefreq&gt;")</f>
        <v>&lt;changefreq&gt;yearly&lt;/changefreq&gt;</v>
      </c>
      <c r="B339" s="15" t="s">
        <v>255</v>
      </c>
      <c r="C339" s="18"/>
      <c r="E339" s="17"/>
    </row>
    <row r="340" ht="16.95" spans="1:5">
      <c r="A340" s="14" t="str">
        <f>CONCATENATE("&lt;priority&gt;",B340,"&lt;/priority&gt;")</f>
        <v>&lt;priority&gt;0.6&lt;/priority&gt;</v>
      </c>
      <c r="B340" s="15" t="str">
        <f>C340</f>
        <v>0.6</v>
      </c>
      <c r="C340" s="19" t="s">
        <v>271</v>
      </c>
    </row>
    <row r="341" ht="16.95" spans="1:5">
      <c r="A341" s="20" t="s">
        <v>256</v>
      </c>
      <c r="B341" s="21"/>
      <c r="C341" s="22"/>
    </row>
    <row r="342" ht="17.7" spans="1:5">
      <c r="A342" s="11" t="s">
        <v>253</v>
      </c>
      <c r="B342" s="12"/>
      <c r="C342" s="13"/>
    </row>
    <row r="343" ht="16.95" spans="1:5">
      <c r="A343" s="14" t="str">
        <f>CONCATENATE("&lt;loc&gt;",B343,"&lt;/loc&gt;")</f>
        <v>&lt;loc&gt;https://eduardoherreraf.github.io/cursoPython3-0403_retorno_de_valores_en_funciones.html&lt;/loc&gt;</v>
      </c>
      <c r="B343" s="15" t="str">
        <f>CONCATENATE($C$5,C343)</f>
        <v>https://eduardoherreraf.github.io/cursoPython3-0403_retorno_de_valores_en_funciones.html</v>
      </c>
      <c r="C343" s="19" t="s">
        <v>323</v>
      </c>
      <c r="E343" s="17"/>
    </row>
    <row r="344" spans="1:5">
      <c r="A344" s="14" t="str">
        <f>CONCATENATE("&lt;lastmod&gt;",B344,"&lt;/lastmod&gt;")</f>
        <v>&lt;lastmod&gt;2025-10-31T15:17:38-05:00&lt;/lastmod&gt;</v>
      </c>
      <c r="B344" s="15" t="str">
        <f>$C$1</f>
        <v>2025-10-31T15:17:38-05:00</v>
      </c>
      <c r="C344" s="18"/>
      <c r="E344" s="17"/>
    </row>
    <row r="345" ht="16.95" spans="1:5">
      <c r="A345" s="14" t="str">
        <f>CONCATENATE("&lt;changefreq&gt;",B345,"&lt;/changefreq&gt;")</f>
        <v>&lt;changefreq&gt;yearly&lt;/changefreq&gt;</v>
      </c>
      <c r="B345" s="15" t="s">
        <v>255</v>
      </c>
      <c r="C345" s="18"/>
      <c r="E345" s="17"/>
    </row>
    <row r="346" ht="16.95" spans="1:5">
      <c r="A346" s="14" t="str">
        <f>CONCATENATE("&lt;priority&gt;",B346,"&lt;/priority&gt;")</f>
        <v>&lt;priority&gt;0.6&lt;/priority&gt;</v>
      </c>
      <c r="B346" s="15" t="str">
        <f>C346</f>
        <v>0.6</v>
      </c>
      <c r="C346" s="19" t="s">
        <v>271</v>
      </c>
    </row>
    <row r="347" ht="16.95" spans="1:5">
      <c r="A347" s="20" t="s">
        <v>256</v>
      </c>
      <c r="B347" s="21"/>
      <c r="C347" s="22"/>
    </row>
    <row r="348" ht="17.7" spans="1:5">
      <c r="A348" s="11" t="s">
        <v>253</v>
      </c>
      <c r="B348" s="12"/>
      <c r="C348" s="13"/>
    </row>
    <row r="349" ht="16.95" spans="1:5">
      <c r="A349" s="14" t="str">
        <f>CONCATENATE("&lt;loc&gt;",B349,"&lt;/loc&gt;")</f>
        <v>&lt;loc&gt;https://eduardoherreraf.github.io/cursoPython3-0404_el_alcance_de_las_variables.html&lt;/loc&gt;</v>
      </c>
      <c r="B349" s="15" t="str">
        <f>CONCATENATE($C$5,C349)</f>
        <v>https://eduardoherreraf.github.io/cursoPython3-0404_el_alcance_de_las_variables.html</v>
      </c>
      <c r="C349" s="19" t="s">
        <v>324</v>
      </c>
      <c r="E349" s="17"/>
    </row>
    <row r="350" spans="1:5">
      <c r="A350" s="14" t="str">
        <f>CONCATENATE("&lt;lastmod&gt;",B350,"&lt;/lastmod&gt;")</f>
        <v>&lt;lastmod&gt;2025-10-31T15:17:38-05:00&lt;/lastmod&gt;</v>
      </c>
      <c r="B350" s="15" t="str">
        <f>$C$1</f>
        <v>2025-10-31T15:17:38-05:00</v>
      </c>
      <c r="C350" s="18"/>
      <c r="E350" s="17"/>
    </row>
    <row r="351" ht="16.95" spans="1:5">
      <c r="A351" s="14" t="str">
        <f>CONCATENATE("&lt;changefreq&gt;",B351,"&lt;/changefreq&gt;")</f>
        <v>&lt;changefreq&gt;yearly&lt;/changefreq&gt;</v>
      </c>
      <c r="B351" s="15" t="s">
        <v>255</v>
      </c>
      <c r="C351" s="18"/>
      <c r="E351" s="17"/>
    </row>
    <row r="352" ht="16.95" spans="1:5">
      <c r="A352" s="14" t="str">
        <f>CONCATENATE("&lt;priority&gt;",B352,"&lt;/priority&gt;")</f>
        <v>&lt;priority&gt;0.6&lt;/priority&gt;</v>
      </c>
      <c r="B352" s="15" t="str">
        <f>C352</f>
        <v>0.6</v>
      </c>
      <c r="C352" s="19" t="s">
        <v>271</v>
      </c>
    </row>
    <row r="353" ht="16.95" spans="1:5">
      <c r="A353" s="20" t="s">
        <v>256</v>
      </c>
      <c r="B353" s="21"/>
      <c r="C353" s="22"/>
    </row>
    <row r="354" ht="17.7" spans="1:5">
      <c r="A354" s="11" t="s">
        <v>253</v>
      </c>
      <c r="B354" s="12"/>
      <c r="C354" s="13"/>
    </row>
    <row r="355" ht="16.95" spans="1:5">
      <c r="A355" s="14" t="str">
        <f>CONCATENATE("&lt;loc&gt;",B355,"&lt;/loc&gt;")</f>
        <v>&lt;loc&gt;https://eduardoherreraf.github.io/cursoPython3-0405_tuplas_y_diccionarios.html&lt;/loc&gt;</v>
      </c>
      <c r="B355" s="15" t="str">
        <f>CONCATENATE($C$5,C355)</f>
        <v>https://eduardoherreraf.github.io/cursoPython3-0405_tuplas_y_diccionarios.html</v>
      </c>
      <c r="C355" s="19" t="s">
        <v>325</v>
      </c>
      <c r="E355" s="17"/>
    </row>
    <row r="356" spans="1:5">
      <c r="A356" s="14" t="str">
        <f>CONCATENATE("&lt;lastmod&gt;",B356,"&lt;/lastmod&gt;")</f>
        <v>&lt;lastmod&gt;2025-10-31T15:17:38-05:00&lt;/lastmod&gt;</v>
      </c>
      <c r="B356" s="15" t="str">
        <f>$C$1</f>
        <v>2025-10-31T15:17:38-05:00</v>
      </c>
      <c r="C356" s="18"/>
      <c r="E356" s="17"/>
    </row>
    <row r="357" ht="16.95" spans="1:5">
      <c r="A357" s="14" t="str">
        <f>CONCATENATE("&lt;changefreq&gt;",B357,"&lt;/changefreq&gt;")</f>
        <v>&lt;changefreq&gt;yearly&lt;/changefreq&gt;</v>
      </c>
      <c r="B357" s="15" t="s">
        <v>255</v>
      </c>
      <c r="C357" s="18"/>
      <c r="E357" s="17"/>
    </row>
    <row r="358" ht="16.95" spans="1:5">
      <c r="A358" s="14" t="str">
        <f>CONCATENATE("&lt;priority&gt;",B358,"&lt;/priority&gt;")</f>
        <v>&lt;priority&gt;0.6&lt;/priority&gt;</v>
      </c>
      <c r="B358" s="15" t="str">
        <f>C358</f>
        <v>0.6</v>
      </c>
      <c r="C358" s="19" t="s">
        <v>271</v>
      </c>
    </row>
    <row r="359" ht="16.95" spans="1:5">
      <c r="A359" s="20" t="s">
        <v>256</v>
      </c>
      <c r="B359" s="21"/>
      <c r="C359" s="22"/>
    </row>
    <row r="360" ht="17.7" spans="1:5">
      <c r="A360" s="11" t="s">
        <v>253</v>
      </c>
      <c r="B360" s="12"/>
      <c r="C360" s="13"/>
    </row>
    <row r="361" ht="16.95" spans="1:5">
      <c r="A361" s="14" t="str">
        <f>CONCATENATE("&lt;loc&gt;",B361,"&lt;/loc&gt;")</f>
        <v>&lt;loc&gt;https://eduardoherreraf.github.io/cursoPython3-0501_introduccion_a_los_modulos.html&lt;/loc&gt;</v>
      </c>
      <c r="B361" s="15" t="str">
        <f>CONCATENATE($C$5,C361)</f>
        <v>https://eduardoherreraf.github.io/cursoPython3-0501_introduccion_a_los_modulos.html</v>
      </c>
      <c r="C361" s="19" t="s">
        <v>326</v>
      </c>
      <c r="E361" s="17"/>
    </row>
    <row r="362" spans="1:5">
      <c r="A362" s="14" t="str">
        <f>CONCATENATE("&lt;lastmod&gt;",B362,"&lt;/lastmod&gt;")</f>
        <v>&lt;lastmod&gt;2025-10-31T15:17:38-05:00&lt;/lastmod&gt;</v>
      </c>
      <c r="B362" s="15" t="str">
        <f>$C$1</f>
        <v>2025-10-31T15:17:38-05:00</v>
      </c>
      <c r="C362" s="18"/>
      <c r="E362" s="17"/>
    </row>
    <row r="363" ht="16.95" spans="1:5">
      <c r="A363" s="14" t="str">
        <f>CONCATENATE("&lt;changefreq&gt;",B363,"&lt;/changefreq&gt;")</f>
        <v>&lt;changefreq&gt;yearly&lt;/changefreq&gt;</v>
      </c>
      <c r="B363" s="15" t="s">
        <v>255</v>
      </c>
      <c r="C363" s="18"/>
      <c r="E363" s="17"/>
    </row>
    <row r="364" ht="16.95" spans="1:5">
      <c r="A364" s="14" t="str">
        <f>CONCATENATE("&lt;priority&gt;",B364,"&lt;/priority&gt;")</f>
        <v>&lt;priority&gt;0.6&lt;/priority&gt;</v>
      </c>
      <c r="B364" s="15" t="str">
        <f>C364</f>
        <v>0.6</v>
      </c>
      <c r="C364" s="19" t="s">
        <v>271</v>
      </c>
    </row>
    <row r="365" ht="16.95" spans="1:5">
      <c r="A365" s="20" t="s">
        <v>256</v>
      </c>
      <c r="B365" s="21"/>
      <c r="C365" s="22"/>
    </row>
    <row r="366" ht="17.7" spans="1:5">
      <c r="A366" s="11" t="s">
        <v>253</v>
      </c>
      <c r="B366" s="12"/>
      <c r="C366" s="13"/>
    </row>
    <row r="367" ht="16.95" spans="1:5">
      <c r="A367" s="14" t="str">
        <f>CONCATENATE("&lt;loc&gt;",B367,"&lt;/loc&gt;")</f>
        <v>&lt;loc&gt;https://eduardoherreraf.github.io/cursoPython3-0502_importacion_de_modulos.html&lt;/loc&gt;</v>
      </c>
      <c r="B367" s="15" t="str">
        <f>CONCATENATE($C$5,C367)</f>
        <v>https://eduardoherreraf.github.io/cursoPython3-0502_importacion_de_modulos.html</v>
      </c>
      <c r="C367" s="19" t="s">
        <v>327</v>
      </c>
      <c r="E367" s="17"/>
    </row>
    <row r="368" spans="1:5">
      <c r="A368" s="14" t="str">
        <f>CONCATENATE("&lt;lastmod&gt;",B368,"&lt;/lastmod&gt;")</f>
        <v>&lt;lastmod&gt;2025-10-31T15:17:38-05:00&lt;/lastmod&gt;</v>
      </c>
      <c r="B368" s="15" t="str">
        <f>$C$1</f>
        <v>2025-10-31T15:17:38-05:00</v>
      </c>
      <c r="C368" s="18"/>
      <c r="E368" s="17"/>
    </row>
    <row r="369" ht="16.95" spans="1:5">
      <c r="A369" s="14" t="str">
        <f>CONCATENATE("&lt;changefreq&gt;",B369,"&lt;/changefreq&gt;")</f>
        <v>&lt;changefreq&gt;yearly&lt;/changefreq&gt;</v>
      </c>
      <c r="B369" s="15" t="s">
        <v>255</v>
      </c>
      <c r="C369" s="18"/>
      <c r="E369" s="17"/>
    </row>
    <row r="370" ht="16.95" spans="1:5">
      <c r="A370" s="14" t="str">
        <f>CONCATENATE("&lt;priority&gt;",B370,"&lt;/priority&gt;")</f>
        <v>&lt;priority&gt;0.6&lt;/priority&gt;</v>
      </c>
      <c r="B370" s="15" t="str">
        <f>C370</f>
        <v>0.6</v>
      </c>
      <c r="C370" s="19" t="s">
        <v>271</v>
      </c>
    </row>
    <row r="371" ht="16.95" spans="1:5">
      <c r="A371" s="20" t="s">
        <v>256</v>
      </c>
      <c r="B371" s="21"/>
      <c r="C371" s="22"/>
    </row>
    <row r="372" ht="17.7" spans="1:5">
      <c r="A372" s="11" t="s">
        <v>253</v>
      </c>
      <c r="B372" s="12"/>
      <c r="C372" s="13"/>
    </row>
    <row r="373" ht="16.95" spans="1:5">
      <c r="A373" s="14" t="str">
        <f>CONCATENATE("&lt;loc&gt;",B373,"&lt;/loc&gt;")</f>
        <v>&lt;loc&gt;https://eduardoherreraf.github.io/cursoPython3-0503_modulos_especializados_de_python-matematico_aleatorio_y_de_sistema.html&lt;/loc&gt;</v>
      </c>
      <c r="B373" s="15" t="str">
        <f>CONCATENATE($C$5,C373)</f>
        <v>https://eduardoherreraf.github.io/cursoPython3-0503_modulos_especializados_de_python-matematico_aleatorio_y_de_sistema.html</v>
      </c>
      <c r="C373" s="19" t="s">
        <v>328</v>
      </c>
      <c r="E373" s="17"/>
    </row>
    <row r="374" spans="1:5">
      <c r="A374" s="14" t="str">
        <f>CONCATENATE("&lt;lastmod&gt;",B374,"&lt;/lastmod&gt;")</f>
        <v>&lt;lastmod&gt;2025-10-31T15:17:38-05:00&lt;/lastmod&gt;</v>
      </c>
      <c r="B374" s="15" t="str">
        <f>$C$1</f>
        <v>2025-10-31T15:17:38-05:00</v>
      </c>
      <c r="C374" s="18"/>
      <c r="E374" s="17"/>
    </row>
    <row r="375" ht="16.95" spans="1:5">
      <c r="A375" s="14" t="str">
        <f>CONCATENATE("&lt;changefreq&gt;",B375,"&lt;/changefreq&gt;")</f>
        <v>&lt;changefreq&gt;yearly&lt;/changefreq&gt;</v>
      </c>
      <c r="B375" s="15" t="s">
        <v>255</v>
      </c>
      <c r="C375" s="18"/>
      <c r="E375" s="17"/>
    </row>
    <row r="376" ht="16.95" spans="1:5">
      <c r="A376" s="14" t="str">
        <f>CONCATENATE("&lt;priority&gt;",B376,"&lt;/priority&gt;")</f>
        <v>&lt;priority&gt;0.6&lt;/priority&gt;</v>
      </c>
      <c r="B376" s="15" t="str">
        <f>C376</f>
        <v>0.6</v>
      </c>
      <c r="C376" s="19" t="s">
        <v>271</v>
      </c>
    </row>
    <row r="377" ht="16.95" spans="1:5">
      <c r="A377" s="20" t="s">
        <v>256</v>
      </c>
      <c r="B377" s="21"/>
      <c r="C377" s="22"/>
    </row>
    <row r="378" ht="17.7" spans="1:5">
      <c r="A378" s="11" t="s">
        <v>253</v>
      </c>
      <c r="B378" s="12"/>
      <c r="C378" s="13"/>
    </row>
    <row r="379" ht="16.95" spans="1:5">
      <c r="A379" s="14" t="str">
        <f>CONCATENATE("&lt;loc&gt;",B379,"&lt;/loc&gt;")</f>
        <v>&lt;loc&gt;https://eduardoherreraf.github.io/cursoPython3-0504_modulos_y_paquetes.html&lt;/loc&gt;</v>
      </c>
      <c r="B379" s="15" t="str">
        <f>CONCATENATE($C$5,C379)</f>
        <v>https://eduardoherreraf.github.io/cursoPython3-0504_modulos_y_paquetes.html</v>
      </c>
      <c r="C379" s="19" t="s">
        <v>329</v>
      </c>
      <c r="E379" s="17"/>
    </row>
    <row r="380" spans="1:5">
      <c r="A380" s="14" t="str">
        <f>CONCATENATE("&lt;lastmod&gt;",B380,"&lt;/lastmod&gt;")</f>
        <v>&lt;lastmod&gt;2025-10-31T15:17:38-05:00&lt;/lastmod&gt;</v>
      </c>
      <c r="B380" s="15" t="str">
        <f>$C$1</f>
        <v>2025-10-31T15:17:38-05:00</v>
      </c>
      <c r="C380" s="18"/>
      <c r="E380" s="17"/>
    </row>
    <row r="381" ht="16.95" spans="1:5">
      <c r="A381" s="14" t="str">
        <f>CONCATENATE("&lt;changefreq&gt;",B381,"&lt;/changefreq&gt;")</f>
        <v>&lt;changefreq&gt;yearly&lt;/changefreq&gt;</v>
      </c>
      <c r="B381" s="15" t="s">
        <v>255</v>
      </c>
      <c r="C381" s="18"/>
      <c r="E381" s="17"/>
    </row>
    <row r="382" ht="16.95" spans="1:5">
      <c r="A382" s="14" t="str">
        <f>CONCATENATE("&lt;priority&gt;",B382,"&lt;/priority&gt;")</f>
        <v>&lt;priority&gt;0.6&lt;/priority&gt;</v>
      </c>
      <c r="B382" s="15" t="str">
        <f>C382</f>
        <v>0.6</v>
      </c>
      <c r="C382" s="19" t="s">
        <v>271</v>
      </c>
    </row>
    <row r="383" ht="16.95" spans="1:5">
      <c r="A383" s="20" t="s">
        <v>256</v>
      </c>
      <c r="B383" s="21"/>
      <c r="C383" s="22"/>
    </row>
    <row r="384" ht="17.7" spans="1:5">
      <c r="A384" s="11" t="s">
        <v>253</v>
      </c>
      <c r="B384" s="12"/>
      <c r="C384" s="13"/>
    </row>
    <row r="385" ht="16.95" spans="1:5">
      <c r="A385" s="14" t="str">
        <f>CONCATENATE("&lt;loc&gt;",B385,"&lt;/loc&gt;")</f>
        <v>&lt;loc&gt;https://eduardoherreraf.github.io/cursoPython3-0505_instalador_de_paquetes-pip.html&lt;/loc&gt;</v>
      </c>
      <c r="B385" s="15" t="str">
        <f>CONCATENATE($C$5,C385)</f>
        <v>https://eduardoherreraf.github.io/cursoPython3-0505_instalador_de_paquetes-pip.html</v>
      </c>
      <c r="C385" s="19" t="s">
        <v>330</v>
      </c>
      <c r="E385" s="17"/>
    </row>
    <row r="386" spans="1:5">
      <c r="A386" s="14" t="str">
        <f>CONCATENATE("&lt;lastmod&gt;",B386,"&lt;/lastmod&gt;")</f>
        <v>&lt;lastmod&gt;2025-10-31T15:17:38-05:00&lt;/lastmod&gt;</v>
      </c>
      <c r="B386" s="15" t="str">
        <f>$C$1</f>
        <v>2025-10-31T15:17:38-05:00</v>
      </c>
      <c r="C386" s="18"/>
      <c r="E386" s="17"/>
    </row>
    <row r="387" ht="16.95" spans="1:5">
      <c r="A387" s="14" t="str">
        <f>CONCATENATE("&lt;changefreq&gt;",B387,"&lt;/changefreq&gt;")</f>
        <v>&lt;changefreq&gt;yearly&lt;/changefreq&gt;</v>
      </c>
      <c r="B387" s="15" t="s">
        <v>255</v>
      </c>
      <c r="C387" s="18"/>
      <c r="E387" s="17"/>
    </row>
    <row r="388" ht="16.95" spans="1:5">
      <c r="A388" s="14" t="str">
        <f>CONCATENATE("&lt;priority&gt;",B388,"&lt;/priority&gt;")</f>
        <v>&lt;priority&gt;0.6&lt;/priority&gt;</v>
      </c>
      <c r="B388" s="15" t="str">
        <f>C388</f>
        <v>0.6</v>
      </c>
      <c r="C388" s="19" t="s">
        <v>271</v>
      </c>
    </row>
    <row r="389" ht="16.95" spans="1:5">
      <c r="A389" s="20" t="s">
        <v>256</v>
      </c>
      <c r="B389" s="21"/>
      <c r="C389" s="22"/>
    </row>
    <row r="390" ht="17.7" spans="1:5">
      <c r="A390" s="11" t="s">
        <v>253</v>
      </c>
      <c r="B390" s="12"/>
      <c r="C390" s="13"/>
    </row>
    <row r="391" ht="16.95" spans="1:5">
      <c r="A391" s="14" t="str">
        <f>CONCATENATE("&lt;loc&gt;",B391,"&lt;/loc&gt;")</f>
        <v>&lt;loc&gt;https://eduardoherreraf.github.io/cursoPython3-0601_la_naturaleza_de_las_cadenas.html&lt;/loc&gt;</v>
      </c>
      <c r="B391" s="15" t="str">
        <f>CONCATENATE($C$5,C391)</f>
        <v>https://eduardoherreraf.github.io/cursoPython3-0601_la_naturaleza_de_las_cadenas.html</v>
      </c>
      <c r="C391" s="19" t="s">
        <v>331</v>
      </c>
      <c r="E391" s="17"/>
    </row>
    <row r="392" spans="1:5">
      <c r="A392" s="14" t="str">
        <f>CONCATENATE("&lt;lastmod&gt;",B392,"&lt;/lastmod&gt;")</f>
        <v>&lt;lastmod&gt;2025-10-31T15:17:38-05:00&lt;/lastmod&gt;</v>
      </c>
      <c r="B392" s="15" t="str">
        <f>$C$1</f>
        <v>2025-10-31T15:17:38-05:00</v>
      </c>
      <c r="C392" s="18"/>
      <c r="E392" s="17"/>
    </row>
    <row r="393" ht="16.95" spans="1:5">
      <c r="A393" s="14" t="str">
        <f>CONCATENATE("&lt;changefreq&gt;",B393,"&lt;/changefreq&gt;")</f>
        <v>&lt;changefreq&gt;yearly&lt;/changefreq&gt;</v>
      </c>
      <c r="B393" s="15" t="s">
        <v>255</v>
      </c>
      <c r="C393" s="18"/>
      <c r="E393" s="17"/>
    </row>
    <row r="394" ht="16.95" spans="1:5">
      <c r="A394" s="14" t="str">
        <f>CONCATENATE("&lt;priority&gt;",B394,"&lt;/priority&gt;")</f>
        <v>&lt;priority&gt;0.6&lt;/priority&gt;</v>
      </c>
      <c r="B394" s="15" t="str">
        <f>C394</f>
        <v>0.6</v>
      </c>
      <c r="C394" s="19" t="s">
        <v>271</v>
      </c>
    </row>
    <row r="395" ht="16.95" spans="1:5">
      <c r="A395" s="20" t="s">
        <v>256</v>
      </c>
      <c r="B395" s="21"/>
      <c r="C395" s="22"/>
    </row>
    <row r="396" ht="17.7" spans="1:5">
      <c r="A396" s="11" t="s">
        <v>253</v>
      </c>
      <c r="B396" s="12"/>
      <c r="C396" s="13"/>
    </row>
    <row r="397" ht="16.95" spans="1:5">
      <c r="A397" s="14" t="str">
        <f>CONCATENATE("&lt;loc&gt;",B397,"&lt;/loc&gt;")</f>
        <v>&lt;loc&gt;https://eduardoherreraf.github.io/cursoPython3-0602_errores-el_pan_diario_del_programador.html&lt;/loc&gt;</v>
      </c>
      <c r="B397" s="15" t="str">
        <f>CONCATENATE($C$5,C397)</f>
        <v>https://eduardoherreraf.github.io/cursoPython3-0602_errores-el_pan_diario_del_programador.html</v>
      </c>
      <c r="C397" s="19" t="s">
        <v>332</v>
      </c>
      <c r="E397" s="17"/>
    </row>
    <row r="398" spans="1:5">
      <c r="A398" s="14" t="str">
        <f>CONCATENATE("&lt;lastmod&gt;",B398,"&lt;/lastmod&gt;")</f>
        <v>&lt;lastmod&gt;2025-10-31T15:17:38-05:00&lt;/lastmod&gt;</v>
      </c>
      <c r="B398" s="15" t="str">
        <f>$C$1</f>
        <v>2025-10-31T15:17:38-05:00</v>
      </c>
      <c r="C398" s="18"/>
      <c r="E398" s="17"/>
    </row>
    <row r="399" ht="16.95" spans="1:5">
      <c r="A399" s="14" t="str">
        <f>CONCATENATE("&lt;changefreq&gt;",B399,"&lt;/changefreq&gt;")</f>
        <v>&lt;changefreq&gt;yearly&lt;/changefreq&gt;</v>
      </c>
      <c r="B399" s="15" t="s">
        <v>255</v>
      </c>
      <c r="C399" s="18"/>
      <c r="E399" s="17"/>
    </row>
    <row r="400" ht="16.95" spans="1:5">
      <c r="A400" s="14" t="str">
        <f>CONCATENATE("&lt;priority&gt;",B400,"&lt;/priority&gt;")</f>
        <v>&lt;priority&gt;0.6&lt;/priority&gt;</v>
      </c>
      <c r="B400" s="15" t="str">
        <f>C400</f>
        <v>0.6</v>
      </c>
      <c r="C400" s="19" t="s">
        <v>271</v>
      </c>
    </row>
    <row r="401" ht="16.95" spans="1:5">
      <c r="A401" s="20" t="s">
        <v>256</v>
      </c>
      <c r="B401" s="21"/>
      <c r="C401" s="22"/>
    </row>
    <row r="402" ht="17.7" spans="1:5">
      <c r="A402" s="11" t="s">
        <v>253</v>
      </c>
      <c r="B402" s="12"/>
      <c r="C402" s="13"/>
    </row>
    <row r="403" ht="16.95" spans="1:5">
      <c r="A403" s="14" t="str">
        <f>CONCATENATE("&lt;loc&gt;",B403,"&lt;/loc&gt;")</f>
        <v>&lt;loc&gt;https://eduardoherreraf.github.io/cursoPython3-0701_los_fundamentos_de_la_poo.html&lt;/loc&gt;</v>
      </c>
      <c r="B403" s="15" t="str">
        <f>CONCATENATE($C$5,C403)</f>
        <v>https://eduardoherreraf.github.io/cursoPython3-0701_los_fundamentos_de_la_poo.html</v>
      </c>
      <c r="C403" s="19" t="s">
        <v>333</v>
      </c>
      <c r="E403" s="17"/>
    </row>
    <row r="404" spans="1:5">
      <c r="A404" s="14" t="str">
        <f>CONCATENATE("&lt;lastmod&gt;",B404,"&lt;/lastmod&gt;")</f>
        <v>&lt;lastmod&gt;2025-10-31T15:17:38-05:00&lt;/lastmod&gt;</v>
      </c>
      <c r="B404" s="15" t="str">
        <f>$C$1</f>
        <v>2025-10-31T15:17:38-05:00</v>
      </c>
      <c r="C404" s="18"/>
      <c r="E404" s="17"/>
    </row>
    <row r="405" ht="16.95" spans="1:5">
      <c r="A405" s="14" t="str">
        <f>CONCATENATE("&lt;changefreq&gt;",B405,"&lt;/changefreq&gt;")</f>
        <v>&lt;changefreq&gt;yearly&lt;/changefreq&gt;</v>
      </c>
      <c r="B405" s="15" t="s">
        <v>255</v>
      </c>
      <c r="C405" s="18"/>
      <c r="E405" s="17"/>
    </row>
    <row r="406" ht="16.95" spans="1:5">
      <c r="A406" s="14" t="str">
        <f>CONCATENATE("&lt;priority&gt;",B406,"&lt;/priority&gt;")</f>
        <v>&lt;priority&gt;0.6&lt;/priority&gt;</v>
      </c>
      <c r="B406" s="15" t="str">
        <f>C406</f>
        <v>0.6</v>
      </c>
      <c r="C406" s="19" t="s">
        <v>271</v>
      </c>
    </row>
    <row r="407" ht="16.95" spans="1:5">
      <c r="A407" s="20" t="s">
        <v>256</v>
      </c>
      <c r="B407" s="21"/>
      <c r="C407" s="22"/>
    </row>
    <row r="408" ht="17.7" spans="1:5">
      <c r="A408" s="11" t="s">
        <v>253</v>
      </c>
      <c r="B408" s="12"/>
      <c r="C408" s="13"/>
    </row>
    <row r="409" ht="16.95" spans="1:5">
      <c r="A409" s="14" t="str">
        <f>CONCATENATE("&lt;loc&gt;",B409,"&lt;/loc&gt;")</f>
        <v>&lt;loc&gt;https://eduardoherreraf.github.io/cursoPython3-0702_comparando_paradigmas_programacion_procedimental_y_orientada_a_objetos.html&lt;/loc&gt;</v>
      </c>
      <c r="B409" s="15" t="str">
        <f>CONCATENATE($C$5,C409)</f>
        <v>https://eduardoherreraf.github.io/cursoPython3-0702_comparando_paradigmas_programacion_procedimental_y_orientada_a_objetos.html</v>
      </c>
      <c r="C409" s="19" t="s">
        <v>334</v>
      </c>
      <c r="E409" s="17"/>
    </row>
    <row r="410" spans="1:5">
      <c r="A410" s="14" t="str">
        <f>CONCATENATE("&lt;lastmod&gt;",B410,"&lt;/lastmod&gt;")</f>
        <v>&lt;lastmod&gt;2025-10-31T15:17:38-05:00&lt;/lastmod&gt;</v>
      </c>
      <c r="B410" s="15" t="str">
        <f>$C$1</f>
        <v>2025-10-31T15:17:38-05:00</v>
      </c>
      <c r="C410" s="18"/>
      <c r="E410" s="17"/>
    </row>
    <row r="411" ht="16.95" spans="1:5">
      <c r="A411" s="14" t="str">
        <f>CONCATENATE("&lt;changefreq&gt;",B411,"&lt;/changefreq&gt;")</f>
        <v>&lt;changefreq&gt;yearly&lt;/changefreq&gt;</v>
      </c>
      <c r="B411" s="15" t="s">
        <v>255</v>
      </c>
      <c r="C411" s="18"/>
      <c r="E411" s="17"/>
    </row>
    <row r="412" ht="16.95" spans="1:5">
      <c r="A412" s="14" t="str">
        <f>CONCATENATE("&lt;priority&gt;",B412,"&lt;/priority&gt;")</f>
        <v>&lt;priority&gt;0.6&lt;/priority&gt;</v>
      </c>
      <c r="B412" s="15" t="str">
        <f>C412</f>
        <v>0.6</v>
      </c>
      <c r="C412" s="19" t="s">
        <v>271</v>
      </c>
    </row>
    <row r="413" ht="16.95" spans="1:5">
      <c r="A413" s="20" t="s">
        <v>256</v>
      </c>
      <c r="B413" s="21"/>
      <c r="C413" s="22"/>
    </row>
    <row r="414" ht="17.7" spans="1:5">
      <c r="A414" s="11" t="s">
        <v>253</v>
      </c>
      <c r="B414" s="12"/>
      <c r="C414" s="13"/>
    </row>
    <row r="415" ht="16.95" spans="1:5">
      <c r="A415" s="14" t="str">
        <f>CONCATENATE("&lt;loc&gt;",B415,"&lt;/loc&gt;")</f>
        <v>&lt;loc&gt;https://eduardoherreraf.github.io/cursoPython3-0703_poo_propiedades.html&lt;/loc&gt;</v>
      </c>
      <c r="B415" s="15" t="str">
        <f>CONCATENATE($C$5,C415)</f>
        <v>https://eduardoherreraf.github.io/cursoPython3-0703_poo_propiedades.html</v>
      </c>
      <c r="C415" s="19" t="s">
        <v>335</v>
      </c>
      <c r="E415" s="17"/>
    </row>
    <row r="416" spans="1:5">
      <c r="A416" s="14" t="str">
        <f>CONCATENATE("&lt;lastmod&gt;",B416,"&lt;/lastmod&gt;")</f>
        <v>&lt;lastmod&gt;2025-10-31T15:17:38-05:00&lt;/lastmod&gt;</v>
      </c>
      <c r="B416" s="15" t="str">
        <f>$C$1</f>
        <v>2025-10-31T15:17:38-05:00</v>
      </c>
      <c r="C416" s="18"/>
      <c r="E416" s="17"/>
    </row>
    <row r="417" ht="16.95" spans="1:5">
      <c r="A417" s="14" t="str">
        <f>CONCATENATE("&lt;changefreq&gt;",B417,"&lt;/changefreq&gt;")</f>
        <v>&lt;changefreq&gt;yearly&lt;/changefreq&gt;</v>
      </c>
      <c r="B417" s="15" t="s">
        <v>255</v>
      </c>
      <c r="C417" s="18"/>
      <c r="E417" s="17"/>
    </row>
    <row r="418" ht="16.95" spans="1:5">
      <c r="A418" s="14" t="str">
        <f>CONCATENATE("&lt;priority&gt;",B418,"&lt;/priority&gt;")</f>
        <v>&lt;priority&gt;0.6&lt;/priority&gt;</v>
      </c>
      <c r="B418" s="15" t="str">
        <f>C418</f>
        <v>0.6</v>
      </c>
      <c r="C418" s="19" t="s">
        <v>271</v>
      </c>
    </row>
    <row r="419" ht="16.95" spans="1:5">
      <c r="A419" s="20" t="s">
        <v>256</v>
      </c>
      <c r="B419" s="21"/>
      <c r="C419" s="22"/>
    </row>
    <row r="420" ht="17.7" spans="1:5">
      <c r="A420" s="11" t="s">
        <v>253</v>
      </c>
      <c r="B420" s="12"/>
      <c r="C420" s="13"/>
    </row>
    <row r="421" ht="16.95" spans="1:5">
      <c r="A421" s="14" t="str">
        <f>CONCATENATE("&lt;loc&gt;",B421,"&lt;/loc&gt;")</f>
        <v>&lt;loc&gt;https://eduardoherreraf.github.io/cursoPython3-0704_poo_metodos.html&lt;/loc&gt;</v>
      </c>
      <c r="B421" s="15" t="str">
        <f>CONCATENATE($C$5,C421)</f>
        <v>https://eduardoherreraf.github.io/cursoPython3-0704_poo_metodos.html</v>
      </c>
      <c r="C421" s="19" t="s">
        <v>336</v>
      </c>
      <c r="E421" s="17"/>
    </row>
    <row r="422" spans="1:5">
      <c r="A422" s="14" t="str">
        <f>CONCATENATE("&lt;lastmod&gt;",B422,"&lt;/lastmod&gt;")</f>
        <v>&lt;lastmod&gt;2025-10-31T15:17:38-05:00&lt;/lastmod&gt;</v>
      </c>
      <c r="B422" s="15" t="str">
        <f>$C$1</f>
        <v>2025-10-31T15:17:38-05:00</v>
      </c>
      <c r="C422" s="18"/>
      <c r="E422" s="17"/>
    </row>
    <row r="423" ht="16.95" spans="1:5">
      <c r="A423" s="14" t="str">
        <f>CONCATENATE("&lt;changefreq&gt;",B423,"&lt;/changefreq&gt;")</f>
        <v>&lt;changefreq&gt;yearly&lt;/changefreq&gt;</v>
      </c>
      <c r="B423" s="15" t="s">
        <v>255</v>
      </c>
      <c r="C423" s="18"/>
      <c r="E423" s="17"/>
    </row>
    <row r="424" ht="16.95" spans="1:5">
      <c r="A424" s="14" t="str">
        <f>CONCATENATE("&lt;priority&gt;",B424,"&lt;/priority&gt;")</f>
        <v>&lt;priority&gt;0.6&lt;/priority&gt;</v>
      </c>
      <c r="B424" s="15" t="str">
        <f>C424</f>
        <v>0.6</v>
      </c>
      <c r="C424" s="19" t="s">
        <v>271</v>
      </c>
    </row>
    <row r="425" ht="16.95" spans="1:5">
      <c r="A425" s="20" t="s">
        <v>256</v>
      </c>
      <c r="B425" s="21"/>
      <c r="C425" s="22"/>
    </row>
    <row r="426" ht="17.7" spans="1:5">
      <c r="A426" s="11" t="s">
        <v>253</v>
      </c>
      <c r="B426" s="12"/>
      <c r="C426" s="13"/>
    </row>
    <row r="427" ht="16.95" spans="1:5">
      <c r="A427" s="14" t="str">
        <f>CONCATENATE("&lt;loc&gt;",B427,"&lt;/loc&gt;")</f>
        <v>&lt;loc&gt;https://eduardoherreraf.github.io/cursoPython3-0705_poo_herencia.html&lt;/loc&gt;</v>
      </c>
      <c r="B427" s="15" t="str">
        <f>CONCATENATE($C$5,C427)</f>
        <v>https://eduardoherreraf.github.io/cursoPython3-0705_poo_herencia.html</v>
      </c>
      <c r="C427" s="19" t="s">
        <v>337</v>
      </c>
      <c r="E427" s="17"/>
    </row>
    <row r="428" spans="1:5">
      <c r="A428" s="14" t="str">
        <f>CONCATENATE("&lt;lastmod&gt;",B428,"&lt;/lastmod&gt;")</f>
        <v>&lt;lastmod&gt;2025-10-31T15:17:38-05:00&lt;/lastmod&gt;</v>
      </c>
      <c r="B428" s="15" t="str">
        <f>$C$1</f>
        <v>2025-10-31T15:17:38-05:00</v>
      </c>
      <c r="C428" s="18"/>
      <c r="E428" s="17"/>
    </row>
    <row r="429" ht="16.95" spans="1:5">
      <c r="A429" s="14" t="str">
        <f>CONCATENATE("&lt;changefreq&gt;",B429,"&lt;/changefreq&gt;")</f>
        <v>&lt;changefreq&gt;yearly&lt;/changefreq&gt;</v>
      </c>
      <c r="B429" s="15" t="s">
        <v>255</v>
      </c>
      <c r="C429" s="18"/>
      <c r="E429" s="17"/>
    </row>
    <row r="430" ht="16.95" spans="1:5">
      <c r="A430" s="14" t="str">
        <f>CONCATENATE("&lt;priority&gt;",B430,"&lt;/priority&gt;")</f>
        <v>&lt;priority&gt;0.6&lt;/priority&gt;</v>
      </c>
      <c r="B430" s="15" t="str">
        <f>C430</f>
        <v>0.6</v>
      </c>
      <c r="C430" s="19" t="s">
        <v>271</v>
      </c>
    </row>
    <row r="431" ht="16.95" spans="1:5">
      <c r="A431" s="20" t="s">
        <v>256</v>
      </c>
      <c r="B431" s="21"/>
      <c r="C431" s="22"/>
    </row>
    <row r="432" ht="17.7" spans="1:5">
      <c r="A432" s="11" t="s">
        <v>253</v>
      </c>
      <c r="B432" s="12"/>
      <c r="C432" s="13"/>
    </row>
    <row r="433" ht="16.95" spans="1:5">
      <c r="A433" s="14" t="str">
        <f>CONCATENATE("&lt;loc&gt;",B433,"&lt;/loc&gt;")</f>
        <v>&lt;loc&gt;https://eduardoherreraf.github.io/cursoPython3-0706_poo_excepciones.html&lt;/loc&gt;</v>
      </c>
      <c r="B433" s="15" t="str">
        <f>CONCATENATE($C$5,C433)</f>
        <v>https://eduardoherreraf.github.io/cursoPython3-0706_poo_excepciones.html</v>
      </c>
      <c r="C433" s="19" t="s">
        <v>338</v>
      </c>
      <c r="E433" s="17"/>
    </row>
    <row r="434" spans="1:5">
      <c r="A434" s="14" t="str">
        <f>CONCATENATE("&lt;lastmod&gt;",B434,"&lt;/lastmod&gt;")</f>
        <v>&lt;lastmod&gt;2025-10-31T15:17:38-05:00&lt;/lastmod&gt;</v>
      </c>
      <c r="B434" s="15" t="str">
        <f>$C$1</f>
        <v>2025-10-31T15:17:38-05:00</v>
      </c>
      <c r="C434" s="18"/>
      <c r="E434" s="17"/>
    </row>
    <row r="435" ht="16.95" spans="1:5">
      <c r="A435" s="14" t="str">
        <f>CONCATENATE("&lt;changefreq&gt;",B435,"&lt;/changefreq&gt;")</f>
        <v>&lt;changefreq&gt;yearly&lt;/changefreq&gt;</v>
      </c>
      <c r="B435" s="15" t="s">
        <v>255</v>
      </c>
      <c r="C435" s="18"/>
      <c r="E435" s="17"/>
    </row>
    <row r="436" ht="16.95" spans="1:5">
      <c r="A436" s="14" t="str">
        <f>CONCATENATE("&lt;priority&gt;",B436,"&lt;/priority&gt;")</f>
        <v>&lt;priority&gt;0.6&lt;/priority&gt;</v>
      </c>
      <c r="B436" s="15" t="str">
        <f>C436</f>
        <v>0.6</v>
      </c>
      <c r="C436" s="19" t="s">
        <v>271</v>
      </c>
    </row>
    <row r="437" ht="16.95" spans="1:5">
      <c r="A437" s="20" t="s">
        <v>256</v>
      </c>
      <c r="B437" s="21"/>
      <c r="C437" s="22"/>
    </row>
    <row r="438" ht="17.7" spans="1:5">
      <c r="A438" s="11" t="s">
        <v>253</v>
      </c>
      <c r="B438" s="12"/>
      <c r="C438" s="13"/>
    </row>
    <row r="439" ht="16.95" spans="1:5">
      <c r="A439" s="14" t="str">
        <f>CONCATENATE("&lt;loc&gt;",B439,"&lt;/loc&gt;")</f>
        <v>&lt;loc&gt;https://eduardoherreraf.github.io/cursoPython3-0801_iteradores,_generadores_y_cierres.html&lt;/loc&gt;</v>
      </c>
      <c r="B439" s="15" t="str">
        <f>CONCATENATE($C$5,C439)</f>
        <v>https://eduardoherreraf.github.io/cursoPython3-0801_iteradores,_generadores_y_cierres.html</v>
      </c>
      <c r="C439" s="19" t="s">
        <v>339</v>
      </c>
      <c r="E439" s="17"/>
    </row>
    <row r="440" spans="1:5">
      <c r="A440" s="14" t="str">
        <f>CONCATENATE("&lt;lastmod&gt;",B440,"&lt;/lastmod&gt;")</f>
        <v>&lt;lastmod&gt;2025-10-31T15:17:38-05:00&lt;/lastmod&gt;</v>
      </c>
      <c r="B440" s="15" t="str">
        <f>$C$1</f>
        <v>2025-10-31T15:17:38-05:00</v>
      </c>
      <c r="C440" s="18"/>
      <c r="E440" s="17"/>
    </row>
    <row r="441" ht="16.95" spans="1:5">
      <c r="A441" s="14" t="str">
        <f>CONCATENATE("&lt;changefreq&gt;",B441,"&lt;/changefreq&gt;")</f>
        <v>&lt;changefreq&gt;yearly&lt;/changefreq&gt;</v>
      </c>
      <c r="B441" s="15" t="s">
        <v>255</v>
      </c>
      <c r="C441" s="18"/>
      <c r="E441" s="17"/>
    </row>
    <row r="442" ht="16.95" spans="1:5">
      <c r="A442" s="14" t="str">
        <f>CONCATENATE("&lt;priority&gt;",B442,"&lt;/priority&gt;")</f>
        <v>&lt;priority&gt;0.6&lt;/priority&gt;</v>
      </c>
      <c r="B442" s="15" t="str">
        <f>C442</f>
        <v>0.6</v>
      </c>
      <c r="C442" s="19" t="s">
        <v>271</v>
      </c>
    </row>
    <row r="443" ht="16.95" spans="1:5">
      <c r="A443" s="20" t="s">
        <v>256</v>
      </c>
      <c r="B443" s="21"/>
      <c r="C443" s="22"/>
    </row>
    <row r="444" ht="17.7" spans="1:5">
      <c r="A444" s="11" t="s">
        <v>253</v>
      </c>
      <c r="B444" s="12"/>
      <c r="C444" s="13"/>
    </row>
    <row r="445" ht="16.95" spans="1:5">
      <c r="A445" s="14" t="str">
        <f>CONCATENATE("&lt;loc&gt;",B445,"&lt;/loc&gt;")</f>
        <v>&lt;loc&gt;https://eduardoherreraf.github.io/cursoPython3-0802_manejo_de_archivos.html&lt;/loc&gt;</v>
      </c>
      <c r="B445" s="15" t="str">
        <f>CONCATENATE($C$5,C445)</f>
        <v>https://eduardoherreraf.github.io/cursoPython3-0802_manejo_de_archivos.html</v>
      </c>
      <c r="C445" s="19" t="s">
        <v>340</v>
      </c>
      <c r="E445" s="17"/>
    </row>
    <row r="446" spans="1:5">
      <c r="A446" s="14" t="str">
        <f>CONCATENATE("&lt;lastmod&gt;",B446,"&lt;/lastmod&gt;")</f>
        <v>&lt;lastmod&gt;2025-10-31T15:17:38-05:00&lt;/lastmod&gt;</v>
      </c>
      <c r="B446" s="15" t="str">
        <f>$C$1</f>
        <v>2025-10-31T15:17:38-05:00</v>
      </c>
      <c r="C446" s="18"/>
      <c r="E446" s="17"/>
    </row>
    <row r="447" ht="16.95" spans="1:5">
      <c r="A447" s="14" t="str">
        <f>CONCATENATE("&lt;changefreq&gt;",B447,"&lt;/changefreq&gt;")</f>
        <v>&lt;changefreq&gt;yearly&lt;/changefreq&gt;</v>
      </c>
      <c r="B447" s="15" t="s">
        <v>255</v>
      </c>
      <c r="C447" s="18"/>
      <c r="E447" s="17"/>
    </row>
    <row r="448" ht="16.95" spans="1:5">
      <c r="A448" s="14" t="str">
        <f>CONCATENATE("&lt;priority&gt;",B448,"&lt;/priority&gt;")</f>
        <v>&lt;priority&gt;0.6&lt;/priority&gt;</v>
      </c>
      <c r="B448" s="15" t="str">
        <f>C448</f>
        <v>0.6</v>
      </c>
      <c r="C448" s="19" t="s">
        <v>271</v>
      </c>
    </row>
    <row r="449" ht="16.95" spans="1:5">
      <c r="A449" s="20" t="s">
        <v>256</v>
      </c>
      <c r="B449" s="21"/>
      <c r="C449" s="22"/>
    </row>
    <row r="450" ht="17.7" spans="1:5">
      <c r="A450" s="11" t="s">
        <v>253</v>
      </c>
      <c r="B450" s="12"/>
      <c r="C450" s="13"/>
    </row>
    <row r="451" ht="16.95" spans="1:5">
      <c r="A451" s="14" t="str">
        <f>CONCATENATE("&lt;loc&gt;",B451,"&lt;/loc&gt;")</f>
        <v>&lt;loc&gt;https://eduardoherreraf.github.io/cursoPython3-0803_el_modulo_os_interactuando_con_el_sistema_operativo.html&lt;/loc&gt;</v>
      </c>
      <c r="B451" s="15" t="str">
        <f>CONCATENATE($C$5,C451)</f>
        <v>https://eduardoherreraf.github.io/cursoPython3-0803_el_modulo_os_interactuando_con_el_sistema_operativo.html</v>
      </c>
      <c r="C451" s="19" t="s">
        <v>341</v>
      </c>
      <c r="E451" s="17"/>
    </row>
    <row r="452" spans="1:5">
      <c r="A452" s="14" t="str">
        <f>CONCATENATE("&lt;lastmod&gt;",B452,"&lt;/lastmod&gt;")</f>
        <v>&lt;lastmod&gt;2025-10-31T15:17:38-05:00&lt;/lastmod&gt;</v>
      </c>
      <c r="B452" s="15" t="str">
        <f>$C$1</f>
        <v>2025-10-31T15:17:38-05:00</v>
      </c>
      <c r="C452" s="18"/>
      <c r="E452" s="17"/>
    </row>
    <row r="453" ht="16.95" spans="1:5">
      <c r="A453" s="14" t="str">
        <f>CONCATENATE("&lt;changefreq&gt;",B453,"&lt;/changefreq&gt;")</f>
        <v>&lt;changefreq&gt;yearly&lt;/changefreq&gt;</v>
      </c>
      <c r="B453" s="15" t="s">
        <v>255</v>
      </c>
      <c r="C453" s="18"/>
      <c r="E453" s="17"/>
    </row>
    <row r="454" ht="16.95" spans="1:5">
      <c r="A454" s="14" t="str">
        <f>CONCATENATE("&lt;priority&gt;",B454,"&lt;/priority&gt;")</f>
        <v>&lt;priority&gt;0.6&lt;/priority&gt;</v>
      </c>
      <c r="B454" s="15" t="str">
        <f>C454</f>
        <v>0.6</v>
      </c>
      <c r="C454" s="19" t="s">
        <v>271</v>
      </c>
    </row>
    <row r="455" ht="16.95" spans="1:5">
      <c r="A455" s="20" t="s">
        <v>256</v>
      </c>
      <c r="B455" s="21"/>
      <c r="C455" s="22"/>
    </row>
    <row r="456" ht="17.7" spans="1:5">
      <c r="A456" s="11" t="s">
        <v>253</v>
      </c>
      <c r="B456" s="12"/>
      <c r="C456" s="13"/>
    </row>
    <row r="457" ht="16.95" spans="1:5">
      <c r="A457" s="14" t="str">
        <f>CONCATENATE("&lt;loc&gt;",B457,"&lt;/loc&gt;")</f>
        <v>&lt;loc&gt;https://eduardoherreraf.github.io/cursoPython3-0804_modulo_datetime_funciones_para_manejo_de_la_hora_y_la_fecha.html&lt;/loc&gt;</v>
      </c>
      <c r="B457" s="15" t="str">
        <f>CONCATENATE($C$5,C457)</f>
        <v>https://eduardoherreraf.github.io/cursoPython3-0804_modulo_datetime_funciones_para_manejo_de_la_hora_y_la_fecha.html</v>
      </c>
      <c r="C457" s="19" t="s">
        <v>342</v>
      </c>
      <c r="E457" s="17"/>
    </row>
    <row r="458" spans="1:5">
      <c r="A458" s="14" t="str">
        <f>CONCATENATE("&lt;lastmod&gt;",B458,"&lt;/lastmod&gt;")</f>
        <v>&lt;lastmod&gt;2025-10-31T15:17:38-05:00&lt;/lastmod&gt;</v>
      </c>
      <c r="B458" s="15" t="str">
        <f>$C$1</f>
        <v>2025-10-31T15:17:38-05:00</v>
      </c>
      <c r="C458" s="18"/>
      <c r="E458" s="17"/>
    </row>
    <row r="459" ht="16.95" spans="1:5">
      <c r="A459" s="14" t="str">
        <f>CONCATENATE("&lt;changefreq&gt;",B459,"&lt;/changefreq&gt;")</f>
        <v>&lt;changefreq&gt;yearly&lt;/changefreq&gt;</v>
      </c>
      <c r="B459" s="15" t="s">
        <v>255</v>
      </c>
      <c r="C459" s="18"/>
      <c r="E459" s="17"/>
    </row>
    <row r="460" ht="16.95" spans="1:5">
      <c r="A460" s="14" t="str">
        <f>CONCATENATE("&lt;priority&gt;",B460,"&lt;/priority&gt;")</f>
        <v>&lt;priority&gt;0.6&lt;/priority&gt;</v>
      </c>
      <c r="B460" s="15" t="str">
        <f>C460</f>
        <v>0.6</v>
      </c>
      <c r="C460" s="19" t="s">
        <v>271</v>
      </c>
    </row>
    <row r="461" ht="16.95" spans="1:5">
      <c r="A461" s="20" t="s">
        <v>256</v>
      </c>
      <c r="B461" s="21"/>
      <c r="C461" s="22"/>
    </row>
    <row r="462" ht="17.7" spans="1:5">
      <c r="A462" s="11" t="s">
        <v>253</v>
      </c>
      <c r="B462" s="12"/>
      <c r="C462" s="13"/>
    </row>
    <row r="463" ht="16.95" spans="1:5">
      <c r="A463" s="14" t="str">
        <f>CONCATENATE("&lt;loc&gt;",B463,"&lt;/loc&gt;")</f>
        <v>&lt;loc&gt;https://eduardoherreraf.github.io/cursoPython3-0805_modulo_calendar_trabajando_con_funciones_relacionadas_con_el_calendario.html&lt;/loc&gt;</v>
      </c>
      <c r="B463" s="15" t="str">
        <f>CONCATENATE($C$5,C463)</f>
        <v>https://eduardoherreraf.github.io/cursoPython3-0805_modulo_calendar_trabajando_con_funciones_relacionadas_con_el_calendario.html</v>
      </c>
      <c r="C463" s="19" t="s">
        <v>343</v>
      </c>
    </row>
    <row r="464" spans="1:5">
      <c r="A464" s="14" t="str">
        <f>CONCATENATE("&lt;lastmod&gt;",B464,"&lt;/lastmod&gt;")</f>
        <v>&lt;lastmod&gt;2025-10-31T15:17:38-05:00&lt;/lastmod&gt;</v>
      </c>
      <c r="B464" s="15" t="str">
        <f>$C$1</f>
        <v>2025-10-31T15:17:38-05:00</v>
      </c>
      <c r="C464" s="18"/>
    </row>
    <row r="465" ht="16.95" spans="1:5">
      <c r="A465" s="14" t="str">
        <f>CONCATENATE("&lt;changefreq&gt;",B465,"&lt;/changefreq&gt;")</f>
        <v>&lt;changefreq&gt;yearly&lt;/changefreq&gt;</v>
      </c>
      <c r="B465" s="15" t="s">
        <v>255</v>
      </c>
      <c r="C465" s="18"/>
    </row>
    <row r="466" ht="16.95" spans="1:5">
      <c r="A466" s="14" t="str">
        <f>CONCATENATE("&lt;priority&gt;",B466,"&lt;/priority&gt;")</f>
        <v>&lt;priority&gt;0.6&lt;/priority&gt;</v>
      </c>
      <c r="B466" s="15" t="str">
        <f>C466</f>
        <v>0.6</v>
      </c>
      <c r="C466" s="19" t="s">
        <v>271</v>
      </c>
    </row>
    <row r="467" ht="16.95" spans="1:5">
      <c r="A467" s="20" t="s">
        <v>256</v>
      </c>
      <c r="B467" s="21"/>
      <c r="C467" s="22"/>
    </row>
    <row r="468" ht="17.7" spans="1:5">
      <c r="A468" s="23" t="s">
        <v>344</v>
      </c>
      <c r="B468" s="23"/>
      <c r="C468" s="23"/>
    </row>
    <row r="469" ht="17.7" spans="1:5">
      <c r="A469" s="11" t="s">
        <v>253</v>
      </c>
      <c r="B469" s="12"/>
      <c r="C469" s="13"/>
    </row>
    <row r="470" ht="16.95" spans="1:5">
      <c r="A470" s="14" t="str">
        <f>CONCATENATE("&lt;loc&gt;",B470,"&lt;/loc&gt;")</f>
        <v>&lt;loc&gt;https://eduardoherreraf.github.io/html-01_introduccion_html.html&lt;/loc&gt;</v>
      </c>
      <c r="B470" s="15" t="str">
        <f>CONCATENATE($C$5,C470)</f>
        <v>https://eduardoherreraf.github.io/html-01_introduccion_html.html</v>
      </c>
      <c r="C470" s="16" t="s">
        <v>345</v>
      </c>
      <c r="E470" s="17"/>
    </row>
    <row r="471" spans="1:5">
      <c r="A471" s="14" t="str">
        <f>CONCATENATE("&lt;lastmod&gt;",B471,"&lt;/lastmod&gt;")</f>
        <v>&lt;lastmod&gt;2025-10-31T15:17:38-05:00&lt;/lastmod&gt;</v>
      </c>
      <c r="B471" s="15" t="str">
        <f>$C$1</f>
        <v>2025-10-31T15:17:38-05:00</v>
      </c>
      <c r="C471" s="18"/>
      <c r="E471" s="17"/>
    </row>
    <row r="472" ht="16.95" spans="1:5">
      <c r="A472" s="14" t="str">
        <f>CONCATENATE("&lt;changefreq&gt;",B472,"&lt;/changefreq&gt;")</f>
        <v>&lt;changefreq&gt;yearly&lt;/changefreq&gt;</v>
      </c>
      <c r="B472" s="15" t="s">
        <v>255</v>
      </c>
      <c r="C472" s="18"/>
      <c r="E472" s="17"/>
    </row>
    <row r="473" ht="16.95" spans="1:5">
      <c r="A473" s="14" t="str">
        <f>CONCATENATE("&lt;priority&gt;",B473,"&lt;/priority&gt;")</f>
        <v>&lt;priority&gt;0.6&lt;/priority&gt;</v>
      </c>
      <c r="B473" s="15" t="str">
        <f>C473</f>
        <v>0.6</v>
      </c>
      <c r="C473" s="19" t="s">
        <v>271</v>
      </c>
    </row>
    <row r="474" ht="16.95" spans="1:5">
      <c r="A474" s="20" t="s">
        <v>256</v>
      </c>
      <c r="B474" s="21"/>
      <c r="C474" s="22"/>
    </row>
    <row r="475" ht="17.7" spans="1:5">
      <c r="A475" s="11" t="s">
        <v>253</v>
      </c>
      <c r="B475" s="12"/>
      <c r="C475" s="13"/>
    </row>
    <row r="476" ht="16.95" spans="1:5">
      <c r="A476" s="14" t="str">
        <f>CONCATENATE("&lt;loc&gt;",B476,"&lt;/loc&gt;")</f>
        <v>&lt;loc&gt;https://eduardoherreraf.github.io/html-02_estructura_del_documento_html.html&lt;/loc&gt;</v>
      </c>
      <c r="B476" s="15" t="str">
        <f>CONCATENATE($C$5,C476)</f>
        <v>https://eduardoherreraf.github.io/html-02_estructura_del_documento_html.html</v>
      </c>
      <c r="C476" s="16" t="s">
        <v>346</v>
      </c>
      <c r="E476" s="17"/>
    </row>
    <row r="477" spans="1:5">
      <c r="A477" s="14" t="str">
        <f>CONCATENATE("&lt;lastmod&gt;",B477,"&lt;/lastmod&gt;")</f>
        <v>&lt;lastmod&gt;2025-10-31T15:17:38-05:00&lt;/lastmod&gt;</v>
      </c>
      <c r="B477" s="15" t="str">
        <f>$C$1</f>
        <v>2025-10-31T15:17:38-05:00</v>
      </c>
      <c r="C477" s="18"/>
      <c r="E477" s="17"/>
    </row>
    <row r="478" ht="16.95" spans="1:5">
      <c r="A478" s="14" t="str">
        <f>CONCATENATE("&lt;changefreq&gt;",B478,"&lt;/changefreq&gt;")</f>
        <v>&lt;changefreq&gt;yearly&lt;/changefreq&gt;</v>
      </c>
      <c r="B478" s="15" t="s">
        <v>255</v>
      </c>
      <c r="C478" s="18"/>
      <c r="E478" s="17"/>
    </row>
    <row r="479" ht="16.95" spans="1:5">
      <c r="A479" s="14" t="str">
        <f>CONCATENATE("&lt;priority&gt;",B479,"&lt;/priority&gt;")</f>
        <v>&lt;priority&gt;0.6&lt;/priority&gt;</v>
      </c>
      <c r="B479" s="15" t="str">
        <f>C479</f>
        <v>0.6</v>
      </c>
      <c r="C479" s="19" t="s">
        <v>271</v>
      </c>
    </row>
    <row r="480" ht="16.95" spans="1:5">
      <c r="A480" s="20" t="s">
        <v>256</v>
      </c>
      <c r="B480" s="21"/>
      <c r="C480" s="22"/>
    </row>
    <row r="481" ht="17.7" spans="1:5">
      <c r="A481" s="11" t="s">
        <v>253</v>
      </c>
      <c r="B481" s="12"/>
      <c r="C481" s="13"/>
    </row>
    <row r="482" ht="16.95" spans="1:5">
      <c r="A482" s="14" t="str">
        <f>CONCATENATE("&lt;loc&gt;",B482,"&lt;/loc&gt;")</f>
        <v>&lt;loc&gt;https://eduardoherreraf.github.io/html-03_encabezado_html.html&lt;/loc&gt;</v>
      </c>
      <c r="B482" s="15" t="str">
        <f>CONCATENATE($C$5,C482)</f>
        <v>https://eduardoherreraf.github.io/html-03_encabezado_html.html</v>
      </c>
      <c r="C482" s="16" t="s">
        <v>347</v>
      </c>
      <c r="E482" s="17"/>
    </row>
    <row r="483" spans="1:5">
      <c r="A483" s="14" t="str">
        <f>CONCATENATE("&lt;lastmod&gt;",B483,"&lt;/lastmod&gt;")</f>
        <v>&lt;lastmod&gt;2025-10-31T15:17:38-05:00&lt;/lastmod&gt;</v>
      </c>
      <c r="B483" s="15" t="str">
        <f>$C$1</f>
        <v>2025-10-31T15:17:38-05:00</v>
      </c>
      <c r="C483" s="18"/>
      <c r="E483" s="17"/>
    </row>
    <row r="484" ht="16.95" spans="1:5">
      <c r="A484" s="14" t="str">
        <f>CONCATENATE("&lt;changefreq&gt;",B484,"&lt;/changefreq&gt;")</f>
        <v>&lt;changefreq&gt;yearly&lt;/changefreq&gt;</v>
      </c>
      <c r="B484" s="15" t="s">
        <v>255</v>
      </c>
      <c r="C484" s="18"/>
      <c r="E484" s="17"/>
    </row>
    <row r="485" ht="16.95" spans="1:5">
      <c r="A485" s="14" t="str">
        <f>CONCATENATE("&lt;priority&gt;",B485,"&lt;/priority&gt;")</f>
        <v>&lt;priority&gt;0.6&lt;/priority&gt;</v>
      </c>
      <c r="B485" s="15" t="str">
        <f>C485</f>
        <v>0.6</v>
      </c>
      <c r="C485" s="19" t="s">
        <v>271</v>
      </c>
    </row>
    <row r="486" ht="16.95" spans="1:5">
      <c r="A486" s="20" t="s">
        <v>256</v>
      </c>
      <c r="B486" s="21"/>
      <c r="C486" s="22"/>
    </row>
    <row r="487" ht="17.7" spans="1:5">
      <c r="A487" s="11" t="s">
        <v>253</v>
      </c>
      <c r="B487" s="12"/>
      <c r="C487" s="13"/>
    </row>
    <row r="488" ht="16.95" spans="1:5">
      <c r="A488" s="14" t="str">
        <f>CONCATENATE("&lt;loc&gt;",B488,"&lt;/loc&gt;")</f>
        <v>&lt;loc&gt;https://eduardoherreraf.github.io/html-04_cuerpo_html.html&lt;/loc&gt;</v>
      </c>
      <c r="B488" s="15" t="str">
        <f>CONCATENATE($C$5,C488)</f>
        <v>https://eduardoherreraf.github.io/html-04_cuerpo_html.html</v>
      </c>
      <c r="C488" s="16" t="s">
        <v>348</v>
      </c>
      <c r="E488" s="17"/>
    </row>
    <row r="489" spans="1:5">
      <c r="A489" s="14" t="str">
        <f>CONCATENATE("&lt;lastmod&gt;",B489,"&lt;/lastmod&gt;")</f>
        <v>&lt;lastmod&gt;2025-10-31T15:17:38-05:00&lt;/lastmod&gt;</v>
      </c>
      <c r="B489" s="15" t="str">
        <f>$C$1</f>
        <v>2025-10-31T15:17:38-05:00</v>
      </c>
      <c r="C489" s="18"/>
      <c r="E489" s="17"/>
    </row>
    <row r="490" ht="16.95" spans="1:5">
      <c r="A490" s="14" t="str">
        <f>CONCATENATE("&lt;changefreq&gt;",B490,"&lt;/changefreq&gt;")</f>
        <v>&lt;changefreq&gt;yearly&lt;/changefreq&gt;</v>
      </c>
      <c r="B490" s="15" t="s">
        <v>255</v>
      </c>
      <c r="C490" s="18"/>
      <c r="E490" s="17"/>
    </row>
    <row r="491" ht="16.95" spans="1:5">
      <c r="A491" s="14" t="str">
        <f>CONCATENATE("&lt;priority&gt;",B491,"&lt;/priority&gt;")</f>
        <v>&lt;priority&gt;0.6&lt;/priority&gt;</v>
      </c>
      <c r="B491" s="15" t="str">
        <f>C491</f>
        <v>0.6</v>
      </c>
      <c r="C491" s="19" t="s">
        <v>271</v>
      </c>
    </row>
    <row r="492" ht="16.95" spans="1:5">
      <c r="A492" s="20" t="s">
        <v>256</v>
      </c>
      <c r="B492" s="21"/>
      <c r="C492" s="22"/>
    </row>
    <row r="493" ht="17.7" spans="1:5">
      <c r="A493" s="11" t="s">
        <v>253</v>
      </c>
      <c r="B493" s="12"/>
      <c r="C493" s="13"/>
    </row>
    <row r="494" ht="16.95" spans="1:5">
      <c r="A494" s="14" t="str">
        <f>CONCATENATE("&lt;loc&gt;",B494,"&lt;/loc&gt;")</f>
        <v>&lt;loc&gt;https://eduardoherreraf.github.io/html-06_Etiquetas_de_texto.html&lt;/loc&gt;</v>
      </c>
      <c r="B494" s="15" t="str">
        <f>CONCATENATE($C$5,C494)</f>
        <v>https://eduardoherreraf.github.io/html-06_Etiquetas_de_texto.html</v>
      </c>
      <c r="C494" s="16" t="s">
        <v>349</v>
      </c>
      <c r="E494" s="17"/>
    </row>
    <row r="495" spans="1:5">
      <c r="A495" s="14" t="str">
        <f>CONCATENATE("&lt;lastmod&gt;",B495,"&lt;/lastmod&gt;")</f>
        <v>&lt;lastmod&gt;2025-10-31T15:17:38-05:00&lt;/lastmod&gt;</v>
      </c>
      <c r="B495" s="15" t="str">
        <f>$C$1</f>
        <v>2025-10-31T15:17:38-05:00</v>
      </c>
      <c r="C495" s="18"/>
      <c r="E495" s="17"/>
    </row>
    <row r="496" ht="16.95" spans="1:5">
      <c r="A496" s="14" t="str">
        <f>CONCATENATE("&lt;changefreq&gt;",B496,"&lt;/changefreq&gt;")</f>
        <v>&lt;changefreq&gt;yearly&lt;/changefreq&gt;</v>
      </c>
      <c r="B496" s="15" t="s">
        <v>255</v>
      </c>
      <c r="C496" s="18"/>
      <c r="E496" s="17"/>
    </row>
    <row r="497" ht="16.95" spans="1:5">
      <c r="A497" s="14" t="str">
        <f>CONCATENATE("&lt;priority&gt;",B497,"&lt;/priority&gt;")</f>
        <v>&lt;priority&gt;0.6&lt;/priority&gt;</v>
      </c>
      <c r="B497" s="15" t="str">
        <f>C497</f>
        <v>0.6</v>
      </c>
      <c r="C497" s="19" t="s">
        <v>271</v>
      </c>
    </row>
    <row r="498" ht="16.95" spans="1:5">
      <c r="A498" s="20" t="s">
        <v>256</v>
      </c>
      <c r="B498" s="21"/>
      <c r="C498" s="22"/>
    </row>
    <row r="499" ht="17.7" spans="1:5">
      <c r="A499" s="11" t="s">
        <v>253</v>
      </c>
      <c r="B499" s="12"/>
      <c r="C499" s="13"/>
    </row>
    <row r="500" ht="16.95" spans="1:5">
      <c r="A500" s="14" t="str">
        <f>CONCATENATE("&lt;loc&gt;",B500,"&lt;/loc&gt;")</f>
        <v>&lt;loc&gt;https://eduardoherreraf.github.io/html-07_formato_de_texto.html&lt;/loc&gt;</v>
      </c>
      <c r="B500" s="15" t="str">
        <f>CONCATENATE($C$5,C500)</f>
        <v>https://eduardoherreraf.github.io/html-07_formato_de_texto.html</v>
      </c>
      <c r="C500" s="16" t="s">
        <v>350</v>
      </c>
      <c r="E500" s="17"/>
    </row>
    <row r="501" spans="1:5">
      <c r="A501" s="14" t="str">
        <f>CONCATENATE("&lt;lastmod&gt;",B501,"&lt;/lastmod&gt;")</f>
        <v>&lt;lastmod&gt;2025-10-31T15:17:38-05:00&lt;/lastmod&gt;</v>
      </c>
      <c r="B501" s="15" t="str">
        <f>$C$1</f>
        <v>2025-10-31T15:17:38-05:00</v>
      </c>
      <c r="C501" s="18"/>
      <c r="E501" s="17"/>
    </row>
    <row r="502" ht="16.95" spans="1:5">
      <c r="A502" s="14" t="str">
        <f>CONCATENATE("&lt;changefreq&gt;",B502,"&lt;/changefreq&gt;")</f>
        <v>&lt;changefreq&gt;yearly&lt;/changefreq&gt;</v>
      </c>
      <c r="B502" s="15" t="s">
        <v>255</v>
      </c>
      <c r="C502" s="18"/>
      <c r="E502" s="17"/>
    </row>
    <row r="503" ht="16.95" spans="1:5">
      <c r="A503" s="14" t="str">
        <f>CONCATENATE("&lt;priority&gt;",B503,"&lt;/priority&gt;")</f>
        <v>&lt;priority&gt;0.6&lt;/priority&gt;</v>
      </c>
      <c r="B503" s="15" t="str">
        <f>C503</f>
        <v>0.6</v>
      </c>
      <c r="C503" s="19" t="s">
        <v>271</v>
      </c>
    </row>
    <row r="504" ht="16.95" spans="1:5">
      <c r="A504" s="20" t="s">
        <v>256</v>
      </c>
      <c r="B504" s="21"/>
      <c r="C504" s="22"/>
    </row>
    <row r="505" ht="17.7" spans="1:5">
      <c r="A505" s="11" t="s">
        <v>253</v>
      </c>
      <c r="B505" s="12"/>
      <c r="C505" s="13"/>
    </row>
    <row r="506" ht="16.95" spans="1:5">
      <c r="A506" s="14" t="str">
        <f>CONCATENATE("&lt;loc&gt;",B506,"&lt;/loc&gt;")</f>
        <v>&lt;loc&gt;https://eduardoherreraf.github.io/html-08_listas.html&lt;/loc&gt;</v>
      </c>
      <c r="B506" s="15" t="str">
        <f>CONCATENATE($C$5,C506)</f>
        <v>https://eduardoherreraf.github.io/html-08_listas.html</v>
      </c>
      <c r="C506" s="16" t="s">
        <v>351</v>
      </c>
      <c r="E506" s="17"/>
    </row>
    <row r="507" spans="1:5">
      <c r="A507" s="14" t="str">
        <f>CONCATENATE("&lt;lastmod&gt;",B507,"&lt;/lastmod&gt;")</f>
        <v>&lt;lastmod&gt;2025-10-31T15:17:38-05:00&lt;/lastmod&gt;</v>
      </c>
      <c r="B507" s="15" t="str">
        <f>$C$1</f>
        <v>2025-10-31T15:17:38-05:00</v>
      </c>
      <c r="C507" s="18"/>
      <c r="E507" s="17"/>
    </row>
    <row r="508" ht="16.95" spans="1:5">
      <c r="A508" s="14" t="str">
        <f>CONCATENATE("&lt;changefreq&gt;",B508,"&lt;/changefreq&gt;")</f>
        <v>&lt;changefreq&gt;yearly&lt;/changefreq&gt;</v>
      </c>
      <c r="B508" s="15" t="s">
        <v>255</v>
      </c>
      <c r="C508" s="18"/>
      <c r="E508" s="17"/>
    </row>
    <row r="509" ht="16.95" spans="1:5">
      <c r="A509" s="14" t="str">
        <f>CONCATENATE("&lt;priority&gt;",B509,"&lt;/priority&gt;")</f>
        <v>&lt;priority&gt;0.6&lt;/priority&gt;</v>
      </c>
      <c r="B509" s="15" t="str">
        <f>C509</f>
        <v>0.6</v>
      </c>
      <c r="C509" s="19" t="s">
        <v>271</v>
      </c>
    </row>
    <row r="510" ht="16.95" spans="1:5">
      <c r="A510" s="20" t="s">
        <v>256</v>
      </c>
      <c r="B510" s="21"/>
      <c r="C510" s="22"/>
    </row>
    <row r="511" ht="17.7" spans="1:5">
      <c r="A511" s="11" t="s">
        <v>253</v>
      </c>
      <c r="B511" s="12"/>
      <c r="C511" s="13"/>
    </row>
    <row r="512" ht="16.95" spans="1:5">
      <c r="A512" s="14" t="str">
        <f>CONCATENATE("&lt;loc&gt;",B512,"&lt;/loc&gt;")</f>
        <v>&lt;loc&gt;https://eduardoherreraf.github.io/html-09_tablas.html&lt;/loc&gt;</v>
      </c>
      <c r="B512" s="15" t="str">
        <f>CONCATENATE($C$5,C512)</f>
        <v>https://eduardoherreraf.github.io/html-09_tablas.html</v>
      </c>
      <c r="C512" s="16" t="s">
        <v>352</v>
      </c>
      <c r="E512" s="17"/>
    </row>
    <row r="513" spans="1:5">
      <c r="A513" s="14" t="str">
        <f>CONCATENATE("&lt;lastmod&gt;",B513,"&lt;/lastmod&gt;")</f>
        <v>&lt;lastmod&gt;2025-10-31T15:17:38-05:00&lt;/lastmod&gt;</v>
      </c>
      <c r="B513" s="15" t="str">
        <f>$C$1</f>
        <v>2025-10-31T15:17:38-05:00</v>
      </c>
      <c r="C513" s="18"/>
      <c r="E513" s="17"/>
    </row>
    <row r="514" ht="16.95" spans="1:5">
      <c r="A514" s="14" t="str">
        <f>CONCATENATE("&lt;changefreq&gt;",B514,"&lt;/changefreq&gt;")</f>
        <v>&lt;changefreq&gt;yearly&lt;/changefreq&gt;</v>
      </c>
      <c r="B514" s="15" t="s">
        <v>255</v>
      </c>
      <c r="C514" s="18"/>
      <c r="E514" s="17"/>
    </row>
    <row r="515" ht="16.95" spans="1:5">
      <c r="A515" s="14" t="str">
        <f>CONCATENATE("&lt;priority&gt;",B515,"&lt;/priority&gt;")</f>
        <v>&lt;priority&gt;0.6&lt;/priority&gt;</v>
      </c>
      <c r="B515" s="15" t="str">
        <f>C515</f>
        <v>0.6</v>
      </c>
      <c r="C515" s="19" t="s">
        <v>271</v>
      </c>
    </row>
    <row r="516" ht="16.95" spans="1:5">
      <c r="A516" s="20" t="s">
        <v>256</v>
      </c>
      <c r="B516" s="21"/>
      <c r="C516" s="22"/>
    </row>
    <row r="517" ht="17.7" spans="1:5">
      <c r="A517" s="11" t="s">
        <v>253</v>
      </c>
      <c r="B517" s="12"/>
      <c r="C517" s="13"/>
    </row>
    <row r="518" ht="16.95" spans="1:5">
      <c r="A518" s="14" t="str">
        <f>CONCATENATE("&lt;loc&gt;",B518,"&lt;/loc&gt;")</f>
        <v>&lt;loc&gt;https://eduardoherreraf.github.io/html-10_imagenes_y_multimedia.html&lt;/loc&gt;</v>
      </c>
      <c r="B518" s="15" t="str">
        <f>CONCATENATE($C$5,C518)</f>
        <v>https://eduardoherreraf.github.io/html-10_imagenes_y_multimedia.html</v>
      </c>
      <c r="C518" s="16" t="s">
        <v>353</v>
      </c>
      <c r="E518" s="17"/>
    </row>
    <row r="519" spans="1:5">
      <c r="A519" s="14" t="str">
        <f>CONCATENATE("&lt;lastmod&gt;",B519,"&lt;/lastmod&gt;")</f>
        <v>&lt;lastmod&gt;2025-10-31T15:17:38-05:00&lt;/lastmod&gt;</v>
      </c>
      <c r="B519" s="15" t="str">
        <f>$C$1</f>
        <v>2025-10-31T15:17:38-05:00</v>
      </c>
      <c r="C519" s="18"/>
      <c r="E519" s="17"/>
    </row>
    <row r="520" ht="16.95" spans="1:5">
      <c r="A520" s="14" t="str">
        <f>CONCATENATE("&lt;changefreq&gt;",B520,"&lt;/changefreq&gt;")</f>
        <v>&lt;changefreq&gt;yearly&lt;/changefreq&gt;</v>
      </c>
      <c r="B520" s="15" t="s">
        <v>255</v>
      </c>
      <c r="C520" s="18"/>
      <c r="E520" s="17"/>
    </row>
    <row r="521" ht="16.95" spans="1:5">
      <c r="A521" s="14" t="str">
        <f>CONCATENATE("&lt;priority&gt;",B521,"&lt;/priority&gt;")</f>
        <v>&lt;priority&gt;0.6&lt;/priority&gt;</v>
      </c>
      <c r="B521" s="15" t="str">
        <f>C521</f>
        <v>0.6</v>
      </c>
      <c r="C521" s="19" t="s">
        <v>271</v>
      </c>
    </row>
    <row r="522" ht="16.95" spans="1:5">
      <c r="A522" s="20" t="s">
        <v>256</v>
      </c>
      <c r="B522" s="21"/>
      <c r="C522" s="22"/>
    </row>
    <row r="523" ht="17.7" spans="1:5">
      <c r="A523" s="11" t="s">
        <v>253</v>
      </c>
      <c r="B523" s="12"/>
      <c r="C523" s="13"/>
    </row>
    <row r="524" ht="16.95" spans="1:5">
      <c r="A524" s="14" t="str">
        <f>CONCATENATE("&lt;loc&gt;",B524,"&lt;/loc&gt;")</f>
        <v>&lt;loc&gt;https://eduardoherreraf.github.io/html-11_enlaces_y_hipervinculos.html&lt;/loc&gt;</v>
      </c>
      <c r="B524" s="15" t="str">
        <f>CONCATENATE($C$5,C524)</f>
        <v>https://eduardoherreraf.github.io/html-11_enlaces_y_hipervinculos.html</v>
      </c>
      <c r="C524" s="16" t="s">
        <v>354</v>
      </c>
      <c r="E524" s="17"/>
    </row>
    <row r="525" spans="1:5">
      <c r="A525" s="14" t="str">
        <f>CONCATENATE("&lt;lastmod&gt;",B525,"&lt;/lastmod&gt;")</f>
        <v>&lt;lastmod&gt;2025-10-31T15:17:38-05:00&lt;/lastmod&gt;</v>
      </c>
      <c r="B525" s="15" t="str">
        <f>$C$1</f>
        <v>2025-10-31T15:17:38-05:00</v>
      </c>
      <c r="C525" s="18"/>
      <c r="E525" s="17"/>
    </row>
    <row r="526" ht="16.95" spans="1:5">
      <c r="A526" s="14" t="str">
        <f>CONCATENATE("&lt;changefreq&gt;",B526,"&lt;/changefreq&gt;")</f>
        <v>&lt;changefreq&gt;yearly&lt;/changefreq&gt;</v>
      </c>
      <c r="B526" s="15" t="s">
        <v>255</v>
      </c>
      <c r="C526" s="18"/>
      <c r="E526" s="17"/>
    </row>
    <row r="527" ht="16.95" spans="1:5">
      <c r="A527" s="14" t="str">
        <f>CONCATENATE("&lt;priority&gt;",B527,"&lt;/priority&gt;")</f>
        <v>&lt;priority&gt;0.6&lt;/priority&gt;</v>
      </c>
      <c r="B527" s="15" t="str">
        <f>C527</f>
        <v>0.6</v>
      </c>
      <c r="C527" s="19" t="s">
        <v>271</v>
      </c>
    </row>
    <row r="528" ht="16.95" spans="1:5">
      <c r="A528" s="20" t="s">
        <v>256</v>
      </c>
      <c r="B528" s="21"/>
      <c r="C528" s="22"/>
    </row>
    <row r="529" ht="17.7" spans="1:5">
      <c r="A529" s="11" t="s">
        <v>253</v>
      </c>
      <c r="B529" s="12"/>
      <c r="C529" s="13"/>
    </row>
    <row r="530" ht="16.95" spans="1:5">
      <c r="A530" s="14" t="str">
        <f>CONCATENATE("&lt;loc&gt;",B530,"&lt;/loc&gt;")</f>
        <v>&lt;loc&gt;https://eduardoherreraf.github.io/html-12_formularios.html&lt;/loc&gt;</v>
      </c>
      <c r="B530" s="15" t="str">
        <f>CONCATENATE($C$5,C530)</f>
        <v>https://eduardoherreraf.github.io/html-12_formularios.html</v>
      </c>
      <c r="C530" s="16" t="s">
        <v>355</v>
      </c>
      <c r="E530" s="17"/>
    </row>
    <row r="531" spans="1:5">
      <c r="A531" s="14" t="str">
        <f>CONCATENATE("&lt;lastmod&gt;",B531,"&lt;/lastmod&gt;")</f>
        <v>&lt;lastmod&gt;2025-10-31T15:17:38-05:00&lt;/lastmod&gt;</v>
      </c>
      <c r="B531" s="15" t="str">
        <f>$C$1</f>
        <v>2025-10-31T15:17:38-05:00</v>
      </c>
      <c r="C531" s="18"/>
      <c r="E531" s="17"/>
    </row>
    <row r="532" ht="16.95" spans="1:5">
      <c r="A532" s="14" t="str">
        <f>CONCATENATE("&lt;changefreq&gt;",B532,"&lt;/changefreq&gt;")</f>
        <v>&lt;changefreq&gt;yearly&lt;/changefreq&gt;</v>
      </c>
      <c r="B532" s="15" t="s">
        <v>255</v>
      </c>
      <c r="C532" s="18"/>
      <c r="E532" s="17"/>
    </row>
    <row r="533" ht="16.95" spans="1:5">
      <c r="A533" s="14" t="str">
        <f>CONCATENATE("&lt;priority&gt;",B533,"&lt;/priority&gt;")</f>
        <v>&lt;priority&gt;0.6&lt;/priority&gt;</v>
      </c>
      <c r="B533" s="15" t="str">
        <f>C533</f>
        <v>0.6</v>
      </c>
      <c r="C533" s="19" t="s">
        <v>271</v>
      </c>
    </row>
    <row r="534" ht="16.95" spans="1:5">
      <c r="A534" s="20" t="s">
        <v>256</v>
      </c>
      <c r="B534" s="21"/>
      <c r="C534" s="22"/>
    </row>
    <row r="535" ht="17.7" spans="1:5">
      <c r="A535" s="11" t="s">
        <v>253</v>
      </c>
      <c r="B535" s="12"/>
      <c r="C535" s="13"/>
    </row>
    <row r="536" ht="16.95" spans="1:5">
      <c r="A536" s="14" t="str">
        <f>CONCATENATE("&lt;loc&gt;",B536,"&lt;/loc&gt;")</f>
        <v>&lt;loc&gt;https://eduardoherreraf.github.io/html-13_citas_y_referencias.html&lt;/loc&gt;</v>
      </c>
      <c r="B536" s="15" t="str">
        <f>CONCATENATE($C$5,C536)</f>
        <v>https://eduardoherreraf.github.io/html-13_citas_y_referencias.html</v>
      </c>
      <c r="C536" s="16" t="s">
        <v>356</v>
      </c>
      <c r="E536" s="17"/>
    </row>
    <row r="537" spans="1:5">
      <c r="A537" s="14" t="str">
        <f>CONCATENATE("&lt;lastmod&gt;",B537,"&lt;/lastmod&gt;")</f>
        <v>&lt;lastmod&gt;2025-10-31T15:17:38-05:00&lt;/lastmod&gt;</v>
      </c>
      <c r="B537" s="15" t="str">
        <f>$C$1</f>
        <v>2025-10-31T15:17:38-05:00</v>
      </c>
      <c r="C537" s="18"/>
      <c r="E537" s="17"/>
    </row>
    <row r="538" ht="16.95" spans="1:5">
      <c r="A538" s="14" t="str">
        <f>CONCATENATE("&lt;changefreq&gt;",B538,"&lt;/changefreq&gt;")</f>
        <v>&lt;changefreq&gt;yearly&lt;/changefreq&gt;</v>
      </c>
      <c r="B538" s="15" t="s">
        <v>255</v>
      </c>
      <c r="C538" s="18"/>
      <c r="E538" s="17"/>
    </row>
    <row r="539" ht="16.95" spans="1:5">
      <c r="A539" s="14" t="str">
        <f>CONCATENATE("&lt;priority&gt;",B539,"&lt;/priority&gt;")</f>
        <v>&lt;priority&gt;0.6&lt;/priority&gt;</v>
      </c>
      <c r="B539" s="15" t="str">
        <f>C539</f>
        <v>0.6</v>
      </c>
      <c r="C539" s="19" t="s">
        <v>271</v>
      </c>
    </row>
    <row r="540" ht="16.95" spans="1:5">
      <c r="A540" s="20" t="s">
        <v>256</v>
      </c>
      <c r="B540" s="21"/>
      <c r="C540" s="22"/>
    </row>
    <row r="541" ht="17.7" spans="1:5">
      <c r="A541" s="23" t="s">
        <v>357</v>
      </c>
      <c r="B541" s="23"/>
      <c r="C541" s="23"/>
    </row>
    <row r="542" ht="17.7" spans="1:5">
      <c r="A542" s="11" t="s">
        <v>253</v>
      </c>
      <c r="B542" s="12"/>
      <c r="C542" s="13"/>
    </row>
    <row r="543" ht="16.95" spans="1:5">
      <c r="A543" s="14" t="str">
        <f>CONCATENATE("&lt;loc&gt;",B543,"&lt;/loc&gt;")</f>
        <v>&lt;loc&gt;https://eduardoherreraf.github.io/css-0001_introduccion_css.html&lt;/loc&gt;</v>
      </c>
      <c r="B543" s="15" t="str">
        <f>CONCATENATE($C$5,C543)</f>
        <v>https://eduardoherreraf.github.io/css-0001_introduccion_css.html</v>
      </c>
      <c r="C543" s="16" t="s">
        <v>358</v>
      </c>
      <c r="E543" s="17"/>
    </row>
    <row r="544" spans="1:5">
      <c r="A544" s="14" t="str">
        <f>CONCATENATE("&lt;lastmod&gt;",B544,"&lt;/lastmod&gt;")</f>
        <v>&lt;lastmod&gt;2025-10-31T15:17:38-05:00&lt;/lastmod&gt;</v>
      </c>
      <c r="B544" s="15" t="str">
        <f>$C$1</f>
        <v>2025-10-31T15:17:38-05:00</v>
      </c>
      <c r="C544" s="18"/>
      <c r="E544" s="17"/>
    </row>
    <row r="545" ht="16.95" spans="1:5">
      <c r="A545" s="14" t="str">
        <f>CONCATENATE("&lt;changefreq&gt;",B545,"&lt;/changefreq&gt;")</f>
        <v>&lt;changefreq&gt;yearly&lt;/changefreq&gt;</v>
      </c>
      <c r="B545" s="15" t="s">
        <v>255</v>
      </c>
      <c r="C545" s="18"/>
      <c r="E545" s="17"/>
    </row>
    <row r="546" ht="16.95" spans="1:5">
      <c r="A546" s="14" t="str">
        <f>CONCATENATE("&lt;priority&gt;",B546,"&lt;/priority&gt;")</f>
        <v>&lt;priority&gt;0.6&lt;/priority&gt;</v>
      </c>
      <c r="B546" s="15" t="str">
        <f>C546</f>
        <v>0.6</v>
      </c>
      <c r="C546" s="19" t="s">
        <v>271</v>
      </c>
    </row>
    <row r="547" ht="16.95" spans="1:5">
      <c r="A547" s="20" t="s">
        <v>256</v>
      </c>
      <c r="B547" s="21"/>
      <c r="C547" s="22"/>
    </row>
    <row r="548" ht="17.7" spans="1:5">
      <c r="A548" s="11" t="s">
        <v>253</v>
      </c>
      <c r="B548" s="12"/>
      <c r="C548" s="13"/>
    </row>
    <row r="549" ht="16.95" spans="1:5">
      <c r="A549" s="14" t="str">
        <f>CONCATENATE("&lt;loc&gt;",B549,"&lt;/loc&gt;")</f>
        <v>&lt;loc&gt;https://eduardoherreraf.github.io/css-0301_flexbox-introduccion.html.html&lt;/loc&gt;</v>
      </c>
      <c r="B549" s="15" t="str">
        <f>CONCATENATE($C$5,C549)</f>
        <v>https://eduardoherreraf.github.io/css-0301_flexbox-introduccion.html.html</v>
      </c>
      <c r="C549" s="16" t="s">
        <v>359</v>
      </c>
      <c r="E549" s="17"/>
    </row>
    <row r="550" spans="1:5">
      <c r="A550" s="14" t="str">
        <f>CONCATENATE("&lt;lastmod&gt;",B550,"&lt;/lastmod&gt;")</f>
        <v>&lt;lastmod&gt;2025-10-31T15:17:38-05:00&lt;/lastmod&gt;</v>
      </c>
      <c r="B550" s="15" t="str">
        <f>$C$1</f>
        <v>2025-10-31T15:17:38-05:00</v>
      </c>
      <c r="C550" s="18"/>
      <c r="E550" s="17"/>
    </row>
    <row r="551" ht="16.95" spans="1:5">
      <c r="A551" s="14" t="str">
        <f>CONCATENATE("&lt;changefreq&gt;",B551,"&lt;/changefreq&gt;")</f>
        <v>&lt;changefreq&gt;yearly&lt;/changefreq&gt;</v>
      </c>
      <c r="B551" s="15" t="s">
        <v>255</v>
      </c>
      <c r="C551" s="18"/>
      <c r="E551" s="17"/>
    </row>
    <row r="552" ht="16.95" spans="1:5">
      <c r="A552" s="14" t="str">
        <f>CONCATENATE("&lt;priority&gt;",B552,"&lt;/priority&gt;")</f>
        <v>&lt;priority&gt;0.6&lt;/priority&gt;</v>
      </c>
      <c r="B552" s="15" t="str">
        <f>C552</f>
        <v>0.6</v>
      </c>
      <c r="C552" s="19" t="s">
        <v>271</v>
      </c>
    </row>
    <row r="553" ht="16.95" spans="1:5">
      <c r="A553" s="20" t="s">
        <v>256</v>
      </c>
      <c r="B553" s="21"/>
      <c r="C553" s="22"/>
    </row>
    <row r="554" ht="17.7" spans="1:5">
      <c r="A554" s="23" t="s">
        <v>360</v>
      </c>
      <c r="B554" s="23"/>
      <c r="C554" s="23"/>
    </row>
    <row r="555" ht="17.7" spans="1:5">
      <c r="A555" s="11" t="s">
        <v>253</v>
      </c>
      <c r="B555" s="12"/>
      <c r="C555" s="13"/>
    </row>
    <row r="556" ht="16.95" spans="1:5">
      <c r="A556" s="14" t="str">
        <f>CONCATENATE("&lt;loc&gt;",B556,"&lt;/loc&gt;")</f>
        <v>&lt;loc&gt;https://eduardoherreraf.github.io/analisis-de-datos-0001_introduccion_analisis_de_datos.html&lt;/loc&gt;</v>
      </c>
      <c r="B556" s="15" t="str">
        <f>CONCATENATE($C$5,C556)</f>
        <v>https://eduardoherreraf.github.io/analisis-de-datos-0001_introduccion_analisis_de_datos.html</v>
      </c>
      <c r="C556" s="16" t="s">
        <v>361</v>
      </c>
      <c r="E556" s="17"/>
    </row>
    <row r="557" spans="1:5">
      <c r="A557" s="14" t="str">
        <f>CONCATENATE("&lt;lastmod&gt;",B557,"&lt;/lastmod&gt;")</f>
        <v>&lt;lastmod&gt;2025-10-31T15:17:38-05:00&lt;/lastmod&gt;</v>
      </c>
      <c r="B557" s="15" t="str">
        <f>$C$1</f>
        <v>2025-10-31T15:17:38-05:00</v>
      </c>
      <c r="C557" s="18"/>
      <c r="E557" s="17"/>
    </row>
    <row r="558" ht="16.95" spans="1:5">
      <c r="A558" s="14" t="str">
        <f>CONCATENATE("&lt;changefreq&gt;",B558,"&lt;/changefreq&gt;")</f>
        <v>&lt;changefreq&gt;yearly&lt;/changefreq&gt;</v>
      </c>
      <c r="B558" s="15" t="s">
        <v>255</v>
      </c>
      <c r="C558" s="18"/>
      <c r="E558" s="17"/>
    </row>
    <row r="559" ht="16.95" spans="1:5">
      <c r="A559" s="14" t="str">
        <f>CONCATENATE("&lt;priority&gt;",B559,"&lt;/priority&gt;")</f>
        <v>&lt;priority&gt;0.6&lt;/priority&gt;</v>
      </c>
      <c r="B559" s="15" t="str">
        <f>C559</f>
        <v>0.6</v>
      </c>
      <c r="C559" s="19" t="s">
        <v>271</v>
      </c>
    </row>
    <row r="560" ht="16.95" spans="1:5">
      <c r="A560" s="20" t="s">
        <v>256</v>
      </c>
      <c r="B560" s="21"/>
      <c r="C560" s="22"/>
    </row>
    <row r="561" ht="17.7" spans="1:5">
      <c r="A561" s="11" t="s">
        <v>253</v>
      </c>
      <c r="B561" s="12"/>
      <c r="C561" s="13"/>
    </row>
    <row r="562" ht="16.95" spans="1:5">
      <c r="A562" s="14" t="str">
        <f>CONCATENATE("&lt;loc&gt;",B562,"&lt;/loc&gt;")</f>
        <v>&lt;loc&gt;https://eduardoherreraf.github.io/analisis-de-datos-0002_fundamento_de_python.html&lt;/loc&gt;</v>
      </c>
      <c r="B562" s="15" t="str">
        <f>CONCATENATE($C$5,C562)</f>
        <v>https://eduardoherreraf.github.io/analisis-de-datos-0002_fundamento_de_python.html</v>
      </c>
      <c r="C562" s="16" t="s">
        <v>362</v>
      </c>
      <c r="E562" s="17"/>
    </row>
    <row r="563" spans="1:5">
      <c r="A563" s="14" t="str">
        <f>CONCATENATE("&lt;lastmod&gt;",B563,"&lt;/lastmod&gt;")</f>
        <v>&lt;lastmod&gt;2025-10-31T15:17:38-05:00&lt;/lastmod&gt;</v>
      </c>
      <c r="B563" s="15" t="str">
        <f>$C$1</f>
        <v>2025-10-31T15:17:38-05:00</v>
      </c>
      <c r="C563" s="18"/>
      <c r="E563" s="17"/>
    </row>
    <row r="564" ht="16.95" spans="1:5">
      <c r="A564" s="14" t="str">
        <f>CONCATENATE("&lt;changefreq&gt;",B564,"&lt;/changefreq&gt;")</f>
        <v>&lt;changefreq&gt;yearly&lt;/changefreq&gt;</v>
      </c>
      <c r="B564" s="15" t="s">
        <v>255</v>
      </c>
      <c r="C564" s="18"/>
      <c r="E564" s="17"/>
    </row>
    <row r="565" ht="16.95" spans="1:5">
      <c r="A565" s="14" t="str">
        <f>CONCATENATE("&lt;priority&gt;",B565,"&lt;/priority&gt;")</f>
        <v>&lt;priority&gt;0.6&lt;/priority&gt;</v>
      </c>
      <c r="B565" s="15" t="str">
        <f>C565</f>
        <v>0.6</v>
      </c>
      <c r="C565" s="19" t="s">
        <v>271</v>
      </c>
    </row>
    <row r="566" ht="16.95" spans="1:5">
      <c r="A566" s="20" t="s">
        <v>256</v>
      </c>
      <c r="B566" s="21"/>
      <c r="C566" s="22"/>
    </row>
    <row r="567" ht="17.7" spans="1:5">
      <c r="A567" s="11" t="s">
        <v>253</v>
      </c>
      <c r="B567" s="12"/>
      <c r="C567" s="13"/>
    </row>
    <row r="568" ht="16.95" spans="1:5">
      <c r="A568" s="14" t="str">
        <f>CONCATENATE("&lt;loc&gt;",B568,"&lt;/loc&gt;")</f>
        <v>&lt;loc&gt;https://eduardoherreraf.github.io/analisis-de-datos-0003_tipos_de_datos_simples_en_python.html&lt;/loc&gt;</v>
      </c>
      <c r="B568" s="15" t="str">
        <f>CONCATENATE($C$5,C568)</f>
        <v>https://eduardoherreraf.github.io/analisis-de-datos-0003_tipos_de_datos_simples_en_python.html</v>
      </c>
      <c r="C568" s="16" t="s">
        <v>363</v>
      </c>
      <c r="E568" s="17"/>
    </row>
    <row r="569" spans="1:5">
      <c r="A569" s="14" t="str">
        <f>CONCATENATE("&lt;lastmod&gt;",B569,"&lt;/lastmod&gt;")</f>
        <v>&lt;lastmod&gt;2025-10-31T15:17:38-05:00&lt;/lastmod&gt;</v>
      </c>
      <c r="B569" s="15" t="str">
        <f>$C$1</f>
        <v>2025-10-31T15:17:38-05:00</v>
      </c>
      <c r="C569" s="18"/>
      <c r="E569" s="17"/>
    </row>
    <row r="570" ht="16.95" spans="1:5">
      <c r="A570" s="14" t="str">
        <f>CONCATENATE("&lt;changefreq&gt;",B570,"&lt;/changefreq&gt;")</f>
        <v>&lt;changefreq&gt;yearly&lt;/changefreq&gt;</v>
      </c>
      <c r="B570" s="15" t="s">
        <v>255</v>
      </c>
      <c r="C570" s="18"/>
      <c r="E570" s="17"/>
    </row>
    <row r="571" ht="16.95" spans="1:5">
      <c r="A571" s="14" t="str">
        <f>CONCATENATE("&lt;priority&gt;",B571,"&lt;/priority&gt;")</f>
        <v>&lt;priority&gt;0.6&lt;/priority&gt;</v>
      </c>
      <c r="B571" s="15" t="str">
        <f>C571</f>
        <v>0.6</v>
      </c>
      <c r="C571" s="19" t="s">
        <v>271</v>
      </c>
    </row>
    <row r="572" ht="16.95" spans="1:5">
      <c r="A572" s="20" t="s">
        <v>256</v>
      </c>
      <c r="B572" s="21"/>
      <c r="C572" s="22"/>
    </row>
    <row r="573" ht="17.7" spans="1:5">
      <c r="A573" s="11" t="s">
        <v>253</v>
      </c>
      <c r="B573" s="12"/>
      <c r="C573" s="13"/>
    </row>
    <row r="574" ht="16.95" spans="1:5">
      <c r="A574" s="14" t="str">
        <f>CONCATENATE("&lt;loc&gt;",B574,"&lt;/loc&gt;")</f>
        <v>&lt;loc&gt;https://eduardoherreraf.github.io/analisis-de-datos-0004_estructuras_de_datos_en_Python.html&lt;/loc&gt;</v>
      </c>
      <c r="B574" s="15" t="str">
        <f>CONCATENATE($C$5,C574)</f>
        <v>https://eduardoherreraf.github.io/analisis-de-datos-0004_estructuras_de_datos_en_Python.html</v>
      </c>
      <c r="C574" s="16" t="s">
        <v>364</v>
      </c>
      <c r="E574" s="17"/>
    </row>
    <row r="575" spans="1:5">
      <c r="A575" s="14" t="str">
        <f>CONCATENATE("&lt;lastmod&gt;",B575,"&lt;/lastmod&gt;")</f>
        <v>&lt;lastmod&gt;2025-10-31T15:17:38-05:00&lt;/lastmod&gt;</v>
      </c>
      <c r="B575" s="15" t="str">
        <f>$C$1</f>
        <v>2025-10-31T15:17:38-05:00</v>
      </c>
      <c r="C575" s="18"/>
      <c r="E575" s="17"/>
    </row>
    <row r="576" ht="16.95" spans="1:5">
      <c r="A576" s="14" t="str">
        <f>CONCATENATE("&lt;changefreq&gt;",B576,"&lt;/changefreq&gt;")</f>
        <v>&lt;changefreq&gt;yearly&lt;/changefreq&gt;</v>
      </c>
      <c r="B576" s="15" t="s">
        <v>255</v>
      </c>
      <c r="C576" s="18"/>
      <c r="E576" s="17"/>
    </row>
    <row r="577" ht="16.95" spans="1:5">
      <c r="A577" s="14" t="str">
        <f>CONCATENATE("&lt;priority&gt;",B577,"&lt;/priority&gt;")</f>
        <v>&lt;priority&gt;0.6&lt;/priority&gt;</v>
      </c>
      <c r="B577" s="15" t="str">
        <f>C577</f>
        <v>0.6</v>
      </c>
      <c r="C577" s="19" t="s">
        <v>271</v>
      </c>
    </row>
    <row r="578" ht="16.95" spans="1:5">
      <c r="A578" s="20" t="s">
        <v>256</v>
      </c>
      <c r="B578" s="21"/>
      <c r="C578" s="22"/>
    </row>
    <row r="579" ht="17.7" spans="1:5">
      <c r="A579" s="11" t="s">
        <v>253</v>
      </c>
      <c r="B579" s="12"/>
      <c r="C579" s="13"/>
    </row>
    <row r="580" ht="16.95" spans="1:5">
      <c r="A580" s="14" t="str">
        <f>CONCATENATE("&lt;loc&gt;",B580,"&lt;/loc&gt;")</f>
        <v>&lt;loc&gt;https://eduardoherreraf.github.io/analisis-de-datos-0005_operadores_basicos_en_python.html&lt;/loc&gt;</v>
      </c>
      <c r="B580" s="15" t="str">
        <f>CONCATENATE($C$5,C580)</f>
        <v>https://eduardoherreraf.github.io/analisis-de-datos-0005_operadores_basicos_en_python.html</v>
      </c>
      <c r="C580" s="16" t="s">
        <v>365</v>
      </c>
      <c r="E580" s="17"/>
    </row>
    <row r="581" spans="1:5">
      <c r="A581" s="14" t="str">
        <f>CONCATENATE("&lt;lastmod&gt;",B581,"&lt;/lastmod&gt;")</f>
        <v>&lt;lastmod&gt;2025-10-31T15:17:38-05:00&lt;/lastmod&gt;</v>
      </c>
      <c r="B581" s="15" t="str">
        <f>$C$1</f>
        <v>2025-10-31T15:17:38-05:00</v>
      </c>
      <c r="C581" s="18"/>
      <c r="E581" s="17"/>
    </row>
    <row r="582" ht="16.95" spans="1:5">
      <c r="A582" s="14" t="str">
        <f>CONCATENATE("&lt;changefreq&gt;",B582,"&lt;/changefreq&gt;")</f>
        <v>&lt;changefreq&gt;yearly&lt;/changefreq&gt;</v>
      </c>
      <c r="B582" s="15" t="s">
        <v>255</v>
      </c>
      <c r="C582" s="18"/>
      <c r="E582" s="17"/>
    </row>
    <row r="583" ht="16.95" spans="1:5">
      <c r="A583" s="14" t="str">
        <f>CONCATENATE("&lt;priority&gt;",B583,"&lt;/priority&gt;")</f>
        <v>&lt;priority&gt;0.6&lt;/priority&gt;</v>
      </c>
      <c r="B583" s="15" t="str">
        <f>C583</f>
        <v>0.6</v>
      </c>
      <c r="C583" s="19" t="s">
        <v>271</v>
      </c>
    </row>
    <row r="584" ht="16.95" spans="1:5">
      <c r="A584" s="20" t="s">
        <v>256</v>
      </c>
      <c r="B584" s="21"/>
      <c r="C584" s="22"/>
    </row>
    <row r="585" ht="17.7" spans="1:5">
      <c r="A585" s="11" t="s">
        <v>253</v>
      </c>
      <c r="B585" s="12"/>
      <c r="C585" s="13"/>
    </row>
    <row r="586" ht="16.95" spans="1:5">
      <c r="A586" s="14" t="str">
        <f>CONCATENATE("&lt;loc&gt;",B586,"&lt;/loc&gt;")</f>
        <v>&lt;loc&gt;https://eduardoherreraf.github.io/analisis-de-datos-0006_funciones_de_entrada_y_salida_en_python.html&lt;/loc&gt;</v>
      </c>
      <c r="B586" s="15" t="str">
        <f>CONCATENATE($C$5,C586)</f>
        <v>https://eduardoherreraf.github.io/analisis-de-datos-0006_funciones_de_entrada_y_salida_en_python.html</v>
      </c>
      <c r="C586" s="16" t="s">
        <v>366</v>
      </c>
      <c r="E586" s="17"/>
    </row>
    <row r="587" spans="1:5">
      <c r="A587" s="14" t="str">
        <f>CONCATENATE("&lt;lastmod&gt;",B587,"&lt;/lastmod&gt;")</f>
        <v>&lt;lastmod&gt;2025-10-31T15:17:38-05:00&lt;/lastmod&gt;</v>
      </c>
      <c r="B587" s="15" t="str">
        <f>$C$1</f>
        <v>2025-10-31T15:17:38-05:00</v>
      </c>
      <c r="C587" s="18"/>
      <c r="E587" s="17"/>
    </row>
    <row r="588" ht="16.95" spans="1:5">
      <c r="A588" s="14" t="str">
        <f>CONCATENATE("&lt;changefreq&gt;",B588,"&lt;/changefreq&gt;")</f>
        <v>&lt;changefreq&gt;yearly&lt;/changefreq&gt;</v>
      </c>
      <c r="B588" s="15" t="s">
        <v>255</v>
      </c>
      <c r="C588" s="18"/>
      <c r="E588" s="17"/>
    </row>
    <row r="589" ht="16.95" spans="1:5">
      <c r="A589" s="14" t="str">
        <f>CONCATENATE("&lt;priority&gt;",B589,"&lt;/priority&gt;")</f>
        <v>&lt;priority&gt;0.6&lt;/priority&gt;</v>
      </c>
      <c r="B589" s="15" t="str">
        <f>C589</f>
        <v>0.6</v>
      </c>
      <c r="C589" s="19" t="s">
        <v>271</v>
      </c>
    </row>
    <row r="590" ht="16.95" spans="1:5">
      <c r="A590" s="20" t="s">
        <v>256</v>
      </c>
      <c r="B590" s="21"/>
      <c r="C590" s="22"/>
    </row>
    <row r="591" ht="17.7" spans="1:5">
      <c r="A591" s="11" t="s">
        <v>253</v>
      </c>
      <c r="B591" s="12"/>
      <c r="C591" s="13"/>
    </row>
    <row r="592" ht="16.95" spans="1:5">
      <c r="A592" s="14" t="str">
        <f>CONCATENATE("&lt;loc&gt;",B592,"&lt;/loc&gt;")</f>
        <v>&lt;loc&gt;https://eduardoherreraf.github.io/analisis-de-datos-0007_condicionales_en_python.html&lt;/loc&gt;</v>
      </c>
      <c r="B592" s="15" t="str">
        <f>CONCATENATE($C$5,C592)</f>
        <v>https://eduardoherreraf.github.io/analisis-de-datos-0007_condicionales_en_python.html</v>
      </c>
      <c r="C592" s="16" t="s">
        <v>367</v>
      </c>
      <c r="E592" s="17"/>
    </row>
    <row r="593" spans="1:5">
      <c r="A593" s="14" t="str">
        <f>CONCATENATE("&lt;lastmod&gt;",B593,"&lt;/lastmod&gt;")</f>
        <v>&lt;lastmod&gt;2025-10-31T15:17:38-05:00&lt;/lastmod&gt;</v>
      </c>
      <c r="B593" s="15" t="str">
        <f>$C$1</f>
        <v>2025-10-31T15:17:38-05:00</v>
      </c>
      <c r="C593" s="18"/>
      <c r="E593" s="17"/>
    </row>
    <row r="594" ht="16.95" spans="1:5">
      <c r="A594" s="14" t="str">
        <f>CONCATENATE("&lt;changefreq&gt;",B594,"&lt;/changefreq&gt;")</f>
        <v>&lt;changefreq&gt;yearly&lt;/changefreq&gt;</v>
      </c>
      <c r="B594" s="15" t="s">
        <v>255</v>
      </c>
      <c r="C594" s="18"/>
      <c r="E594" s="17"/>
    </row>
    <row r="595" ht="16.95" spans="1:5">
      <c r="A595" s="14" t="str">
        <f>CONCATENATE("&lt;priority&gt;",B595,"&lt;/priority&gt;")</f>
        <v>&lt;priority&gt;0.6&lt;/priority&gt;</v>
      </c>
      <c r="B595" s="15" t="str">
        <f>C595</f>
        <v>0.6</v>
      </c>
      <c r="C595" s="19" t="s">
        <v>271</v>
      </c>
    </row>
    <row r="596" ht="16.95" spans="1:5">
      <c r="A596" s="20" t="s">
        <v>256</v>
      </c>
      <c r="B596" s="21"/>
      <c r="C596" s="22"/>
    </row>
    <row r="597" ht="17.7" spans="1:5">
      <c r="A597" s="11" t="s">
        <v>253</v>
      </c>
      <c r="B597" s="12"/>
      <c r="C597" s="13"/>
    </row>
    <row r="598" ht="16.95" spans="1:5">
      <c r="A598" s="14" t="str">
        <f>CONCATENATE("&lt;loc&gt;",B598,"&lt;/loc&gt;")</f>
        <v>&lt;loc&gt;https://eduardoherreraf.github.io/analisis-de-datos-0008_bucles_en_python.html&lt;/loc&gt;</v>
      </c>
      <c r="B598" s="15" t="str">
        <f>CONCATENATE($C$5,C598)</f>
        <v>https://eduardoherreraf.github.io/analisis-de-datos-0008_bucles_en_python.html</v>
      </c>
      <c r="C598" s="16" t="s">
        <v>368</v>
      </c>
      <c r="E598" s="17"/>
    </row>
    <row r="599" spans="1:5">
      <c r="A599" s="14" t="str">
        <f>CONCATENATE("&lt;lastmod&gt;",B599,"&lt;/lastmod&gt;")</f>
        <v>&lt;lastmod&gt;2025-10-31T15:17:38-05:00&lt;/lastmod&gt;</v>
      </c>
      <c r="B599" s="15" t="str">
        <f>$C$1</f>
        <v>2025-10-31T15:17:38-05:00</v>
      </c>
      <c r="C599" s="18"/>
      <c r="E599" s="17"/>
    </row>
    <row r="600" ht="16.95" spans="1:5">
      <c r="A600" s="14" t="str">
        <f>CONCATENATE("&lt;changefreq&gt;",B600,"&lt;/changefreq&gt;")</f>
        <v>&lt;changefreq&gt;yearly&lt;/changefreq&gt;</v>
      </c>
      <c r="B600" s="15" t="s">
        <v>255</v>
      </c>
      <c r="C600" s="18"/>
      <c r="E600" s="17"/>
    </row>
    <row r="601" ht="16.95" spans="1:5">
      <c r="A601" s="14" t="str">
        <f>CONCATENATE("&lt;priority&gt;",B601,"&lt;/priority&gt;")</f>
        <v>&lt;priority&gt;0.6&lt;/priority&gt;</v>
      </c>
      <c r="B601" s="15" t="str">
        <f>C601</f>
        <v>0.6</v>
      </c>
      <c r="C601" s="19" t="s">
        <v>271</v>
      </c>
    </row>
    <row r="602" ht="16.95" spans="1:5">
      <c r="A602" s="20" t="s">
        <v>256</v>
      </c>
      <c r="B602" s="21"/>
      <c r="C602" s="22"/>
    </row>
    <row r="603" ht="17.7" spans="1:5">
      <c r="A603" s="11" t="s">
        <v>253</v>
      </c>
      <c r="B603" s="12"/>
      <c r="C603" s="13"/>
    </row>
    <row r="604" ht="16.95" spans="1:5">
      <c r="A604" s="14" t="str">
        <f>CONCATENATE("&lt;loc&gt;",B604,"&lt;/loc&gt;")</f>
        <v>&lt;loc&gt;https://eduardoherreraf.github.io/analisis-de-datos-0009_funciones-en-pyhon.html&lt;/loc&gt;</v>
      </c>
      <c r="B604" s="15" t="str">
        <f>CONCATENATE($C$5,C604)</f>
        <v>https://eduardoherreraf.github.io/analisis-de-datos-0009_funciones-en-pyhon.html</v>
      </c>
      <c r="C604" s="16" t="s">
        <v>369</v>
      </c>
      <c r="E604" s="17"/>
    </row>
    <row r="605" spans="1:5">
      <c r="A605" s="14" t="str">
        <f>CONCATENATE("&lt;lastmod&gt;",B605,"&lt;/lastmod&gt;")</f>
        <v>&lt;lastmod&gt;2025-10-31T15:17:38-05:00&lt;/lastmod&gt;</v>
      </c>
      <c r="B605" s="15" t="str">
        <f>$C$1</f>
        <v>2025-10-31T15:17:38-05:00</v>
      </c>
      <c r="C605" s="18"/>
      <c r="E605" s="17"/>
    </row>
    <row r="606" ht="16.95" spans="1:5">
      <c r="A606" s="14" t="str">
        <f>CONCATENATE("&lt;changefreq&gt;",B606,"&lt;/changefreq&gt;")</f>
        <v>&lt;changefreq&gt;yearly&lt;/changefreq&gt;</v>
      </c>
      <c r="B606" s="15" t="s">
        <v>255</v>
      </c>
      <c r="C606" s="18"/>
      <c r="E606" s="17"/>
    </row>
    <row r="607" ht="16.95" spans="1:5">
      <c r="A607" s="14" t="str">
        <f>CONCATENATE("&lt;priority&gt;",B607,"&lt;/priority&gt;")</f>
        <v>&lt;priority&gt;0.6&lt;/priority&gt;</v>
      </c>
      <c r="B607" s="15" t="str">
        <f>C607</f>
        <v>0.6</v>
      </c>
      <c r="C607" s="19" t="s">
        <v>271</v>
      </c>
    </row>
    <row r="608" ht="16.95" spans="1:5">
      <c r="A608" s="20" t="s">
        <v>256</v>
      </c>
      <c r="B608" s="21"/>
      <c r="C608" s="22"/>
    </row>
    <row r="609" ht="17.7" spans="1:5">
      <c r="A609" s="11" t="s">
        <v>253</v>
      </c>
      <c r="B609" s="12"/>
      <c r="C609" s="13"/>
    </row>
    <row r="610" ht="16.95" spans="1:5">
      <c r="A610" s="14" t="str">
        <f>CONCATENATE("&lt;loc&gt;",B610,"&lt;/loc&gt;")</f>
        <v>&lt;loc&gt;https://eduardoherreraf.github.io/analisis-de-datos-0010_pandas_una_biblioteca_poderosa_para_el_analisis_de_datos_en_python.html&lt;/loc&gt;</v>
      </c>
      <c r="B610" s="15" t="str">
        <f>CONCATENATE($C$5,C610)</f>
        <v>https://eduardoherreraf.github.io/analisis-de-datos-0010_pandas_una_biblioteca_poderosa_para_el_analisis_de_datos_en_python.html</v>
      </c>
      <c r="C610" s="16" t="s">
        <v>370</v>
      </c>
      <c r="E610" s="17"/>
    </row>
    <row r="611" spans="1:5">
      <c r="A611" s="14" t="str">
        <f>CONCATENATE("&lt;lastmod&gt;",B611,"&lt;/lastmod&gt;")</f>
        <v>&lt;lastmod&gt;2025-10-31T15:17:38-05:00&lt;/lastmod&gt;</v>
      </c>
      <c r="B611" s="15" t="str">
        <f>$C$1</f>
        <v>2025-10-31T15:17:38-05:00</v>
      </c>
      <c r="C611" s="18"/>
      <c r="E611" s="17"/>
    </row>
    <row r="612" ht="16.95" spans="1:5">
      <c r="A612" s="14" t="str">
        <f>CONCATENATE("&lt;changefreq&gt;",B612,"&lt;/changefreq&gt;")</f>
        <v>&lt;changefreq&gt;yearly&lt;/changefreq&gt;</v>
      </c>
      <c r="B612" s="15" t="s">
        <v>255</v>
      </c>
      <c r="C612" s="18"/>
      <c r="E612" s="17"/>
    </row>
    <row r="613" ht="16.95" spans="1:5">
      <c r="A613" s="14" t="str">
        <f>CONCATENATE("&lt;priority&gt;",B613,"&lt;/priority&gt;")</f>
        <v>&lt;priority&gt;0.6&lt;/priority&gt;</v>
      </c>
      <c r="B613" s="15" t="str">
        <f>C613</f>
        <v>0.6</v>
      </c>
      <c r="C613" s="19" t="s">
        <v>271</v>
      </c>
    </row>
    <row r="614" ht="16.95" spans="1:5">
      <c r="A614" s="20" t="s">
        <v>256</v>
      </c>
      <c r="B614" s="21"/>
      <c r="C614" s="22"/>
    </row>
    <row r="615" ht="17.7" spans="1:5">
      <c r="A615" s="11" t="s">
        <v>253</v>
      </c>
      <c r="B615" s="12"/>
      <c r="C615" s="13"/>
    </row>
    <row r="616" ht="16.95" spans="1:5">
      <c r="A616" s="14" t="str">
        <f>CONCATENATE("&lt;loc&gt;",B616,"&lt;/loc&gt;")</f>
        <v>&lt;loc&gt;https://eduardoherreraf.github.io/analisis-de-datos-0011_manejo-de-series-con-panda.html&lt;/loc&gt;</v>
      </c>
      <c r="B616" s="15" t="str">
        <f>CONCATENATE($C$5,C616)</f>
        <v>https://eduardoherreraf.github.io/analisis-de-datos-0011_manejo-de-series-con-panda.html</v>
      </c>
      <c r="C616" s="16" t="s">
        <v>371</v>
      </c>
      <c r="E616" s="17"/>
    </row>
    <row r="617" spans="1:5">
      <c r="A617" s="14" t="str">
        <f>CONCATENATE("&lt;lastmod&gt;",B617,"&lt;/lastmod&gt;")</f>
        <v>&lt;lastmod&gt;2025-10-31T15:17:38-05:00&lt;/lastmod&gt;</v>
      </c>
      <c r="B617" s="15" t="str">
        <f>$C$1</f>
        <v>2025-10-31T15:17:38-05:00</v>
      </c>
      <c r="C617" s="18"/>
      <c r="E617" s="17"/>
    </row>
    <row r="618" ht="16.95" spans="1:5">
      <c r="A618" s="14" t="str">
        <f>CONCATENATE("&lt;changefreq&gt;",B618,"&lt;/changefreq&gt;")</f>
        <v>&lt;changefreq&gt;yearly&lt;/changefreq&gt;</v>
      </c>
      <c r="B618" s="15" t="s">
        <v>255</v>
      </c>
      <c r="C618" s="18"/>
      <c r="E618" s="17"/>
    </row>
    <row r="619" ht="16.95" spans="1:5">
      <c r="A619" s="14" t="str">
        <f>CONCATENATE("&lt;priority&gt;",B619,"&lt;/priority&gt;")</f>
        <v>&lt;priority&gt;0.6&lt;/priority&gt;</v>
      </c>
      <c r="B619" s="15" t="str">
        <f>C619</f>
        <v>0.6</v>
      </c>
      <c r="C619" s="19" t="s">
        <v>271</v>
      </c>
    </row>
    <row r="620" ht="16.95" spans="1:5">
      <c r="A620" s="20" t="s">
        <v>256</v>
      </c>
      <c r="B620" s="21"/>
      <c r="C620" s="22"/>
    </row>
    <row r="621" ht="16.95" spans="1:5">
      <c r="A621" s="6" t="s">
        <v>372</v>
      </c>
      <c r="C621" s="24"/>
    </row>
    <row r="622" spans="1:5">
      <c r="C622" s="24"/>
    </row>
    <row r="623" spans="1:5">
      <c r="C623" s="24"/>
    </row>
    <row r="624" spans="1:5">
      <c r="C624" s="24"/>
    </row>
    <row r="625" spans="3:3">
      <c r="C625" s="24"/>
    </row>
    <row r="626" spans="3:3">
      <c r="C626" s="24"/>
    </row>
    <row r="627" spans="3:3">
      <c r="C627" s="24"/>
    </row>
    <row r="628" spans="3:3">
      <c r="C628" s="24"/>
    </row>
    <row r="629" spans="3:3">
      <c r="C629" s="24"/>
    </row>
    <row r="630" spans="3:3">
      <c r="C630" s="24"/>
    </row>
    <row r="631" spans="3:3">
      <c r="C631" s="24"/>
    </row>
    <row r="712" spans="5:5">
      <c r="E712" s="17"/>
    </row>
    <row r="713" spans="5:5">
      <c r="E713" s="17"/>
    </row>
    <row r="714" spans="5:5">
      <c r="E714" s="17"/>
    </row>
    <row r="715" spans="5:5">
      <c r="E715" s="17"/>
    </row>
    <row r="716" spans="5:5">
      <c r="E716" s="17"/>
    </row>
    <row r="717" spans="5:5">
      <c r="E717" s="17"/>
    </row>
    <row r="718" spans="5:5">
      <c r="E718" s="17"/>
    </row>
    <row r="719" spans="5:5">
      <c r="E719" s="17"/>
    </row>
    <row r="720" spans="5:5">
      <c r="E720" s="17"/>
    </row>
    <row r="721" spans="5:5">
      <c r="E721" s="17"/>
    </row>
    <row r="722" spans="5:5">
      <c r="E722" s="17"/>
    </row>
    <row r="723" spans="5:5">
      <c r="E723" s="17"/>
    </row>
    <row r="724" spans="5:5">
      <c r="E724" s="17"/>
    </row>
    <row r="725" spans="5:5">
      <c r="E725" s="17"/>
    </row>
    <row r="726" spans="5:5">
      <c r="E726" s="17"/>
    </row>
    <row r="727" spans="5:5">
      <c r="E727" s="17"/>
    </row>
    <row r="728" spans="5:5">
      <c r="E728" s="17"/>
    </row>
    <row r="729" spans="5:5">
      <c r="E729" s="17"/>
    </row>
    <row r="730" spans="5:5">
      <c r="E730" s="17"/>
    </row>
    <row r="731" spans="5:5">
      <c r="E731" s="17"/>
    </row>
    <row r="732" spans="5:5">
      <c r="E732" s="17"/>
    </row>
    <row r="733" spans="5:5">
      <c r="E733" s="17"/>
    </row>
    <row r="734" spans="5:5">
      <c r="E734" s="17"/>
    </row>
    <row r="735" spans="5:5">
      <c r="E735" s="17"/>
    </row>
    <row r="736" spans="5:5">
      <c r="E736" s="17"/>
    </row>
    <row r="737" spans="5:5">
      <c r="E737" s="17"/>
    </row>
    <row r="738" spans="5:5">
      <c r="E738" s="17"/>
    </row>
    <row r="739" spans="5:5">
      <c r="E739" s="17"/>
    </row>
    <row r="740" spans="5:5">
      <c r="E740" s="17"/>
    </row>
    <row r="741" spans="5:5">
      <c r="E741" s="17"/>
    </row>
    <row r="742" spans="5:5">
      <c r="E742" s="17"/>
    </row>
    <row r="743" spans="5:5">
      <c r="E743" s="17"/>
    </row>
    <row r="744" spans="5:5">
      <c r="E744" s="17"/>
    </row>
    <row r="745" spans="5:5">
      <c r="E745" s="17"/>
    </row>
    <row r="746" spans="5:5">
      <c r="E746" s="17"/>
    </row>
    <row r="747" spans="5:5">
      <c r="E747" s="17"/>
    </row>
    <row r="748" spans="5:5">
      <c r="E748" s="17"/>
    </row>
    <row r="749" spans="5:5">
      <c r="E749" s="17"/>
    </row>
    <row r="750" spans="5:5">
      <c r="E750" s="17"/>
    </row>
    <row r="751" spans="5:5">
      <c r="E751" s="17"/>
    </row>
    <row r="752" spans="5:5">
      <c r="E752" s="17"/>
    </row>
    <row r="753" spans="5:5">
      <c r="E753" s="17"/>
    </row>
    <row r="754" spans="5:5">
      <c r="E754" s="17"/>
    </row>
    <row r="755" spans="5:5">
      <c r="E755" s="17"/>
    </row>
    <row r="756" spans="5:5">
      <c r="E756" s="17"/>
    </row>
    <row r="757" spans="5:5">
      <c r="E757" s="17"/>
    </row>
    <row r="758" spans="5:5">
      <c r="E758" s="17"/>
    </row>
    <row r="759" spans="5:5">
      <c r="E759" s="17"/>
    </row>
    <row r="760" spans="5:5">
      <c r="E760" s="17"/>
    </row>
    <row r="761" spans="5:5">
      <c r="E761" s="17"/>
    </row>
    <row r="762" spans="5:5">
      <c r="E762" s="17"/>
    </row>
    <row r="763" spans="5:5">
      <c r="E763" s="17"/>
    </row>
    <row r="764" spans="5:5">
      <c r="E764" s="17"/>
    </row>
    <row r="765" spans="5:5">
      <c r="E765" s="17"/>
    </row>
    <row r="766" spans="5:5">
      <c r="E766" s="17"/>
    </row>
    <row r="767" spans="5:5">
      <c r="E767" s="17"/>
    </row>
    <row r="768" spans="5:5">
      <c r="E768" s="17"/>
    </row>
    <row r="769" spans="5:5">
      <c r="E769" s="17"/>
    </row>
    <row r="770" spans="5:5">
      <c r="E770" s="17"/>
    </row>
    <row r="771" spans="5:5">
      <c r="E771" s="17"/>
    </row>
    <row r="772" spans="5:5">
      <c r="E772" s="17"/>
    </row>
    <row r="773" spans="5:5">
      <c r="E773" s="17"/>
    </row>
    <row r="774" spans="5:5">
      <c r="E774" s="17"/>
    </row>
    <row r="775" spans="5:5">
      <c r="E775" s="17"/>
    </row>
    <row r="776" spans="5:5">
      <c r="E776" s="17"/>
    </row>
    <row r="777" spans="5:5">
      <c r="E777" s="17"/>
    </row>
    <row r="778" spans="5:5">
      <c r="E778" s="17"/>
    </row>
    <row r="779" spans="5:5">
      <c r="E779" s="17"/>
    </row>
    <row r="780" spans="5:5">
      <c r="E780" s="17"/>
    </row>
    <row r="781" spans="5:5">
      <c r="E781" s="17"/>
    </row>
    <row r="782" spans="5:5">
      <c r="E782" s="24"/>
    </row>
    <row r="783" spans="5:5">
      <c r="E783" s="24"/>
    </row>
    <row r="784" spans="5:5">
      <c r="E784" s="24"/>
    </row>
    <row r="785" spans="5:5">
      <c r="E785" s="24"/>
    </row>
    <row r="786" spans="5:5">
      <c r="E786" s="24"/>
    </row>
    <row r="787" spans="5:5">
      <c r="E787" s="24"/>
    </row>
    <row r="788" spans="5:5">
      <c r="E788" s="24"/>
    </row>
    <row r="789" spans="5:5">
      <c r="E789" s="7"/>
    </row>
    <row r="790" spans="5:5">
      <c r="E790" s="7"/>
    </row>
    <row r="791" spans="5:5">
      <c r="E791" s="7"/>
    </row>
    <row r="792" spans="5:5">
      <c r="E792" s="7"/>
    </row>
    <row r="793" spans="5:5">
      <c r="E793" s="7"/>
    </row>
    <row r="794" spans="5:5">
      <c r="E794" s="7"/>
    </row>
    <row r="795" spans="5:5">
      <c r="E795" s="7"/>
    </row>
    <row r="796" spans="5:5">
      <c r="E796" s="7"/>
    </row>
    <row r="797" spans="5:5">
      <c r="E797" s="7"/>
    </row>
    <row r="798" spans="5:5">
      <c r="E798" s="7"/>
    </row>
    <row r="799" spans="5:5">
      <c r="E799" s="7"/>
    </row>
    <row r="800" spans="5:5">
      <c r="E800" s="7"/>
    </row>
    <row r="801" spans="5:5">
      <c r="E801" s="7"/>
    </row>
    <row r="802" spans="5:5">
      <c r="E802" s="7"/>
    </row>
    <row r="803" spans="5:5">
      <c r="E803" s="7"/>
    </row>
    <row r="804" spans="5:5">
      <c r="E804" s="7"/>
    </row>
    <row r="805" spans="5:5">
      <c r="E805" s="7"/>
    </row>
    <row r="806" spans="5:5">
      <c r="E806" s="7"/>
    </row>
    <row r="807" spans="5:5">
      <c r="E807" s="7"/>
    </row>
    <row r="808" spans="5:5">
      <c r="E808" s="7"/>
    </row>
    <row r="809" spans="5:5">
      <c r="E809" s="7"/>
    </row>
    <row r="810" spans="5:5">
      <c r="E810" s="7"/>
    </row>
    <row r="811" spans="5:5">
      <c r="E811" s="7"/>
    </row>
    <row r="812" spans="5:5">
      <c r="E812" s="7"/>
    </row>
    <row r="813" spans="5:5">
      <c r="E813" s="7"/>
    </row>
    <row r="814" spans="5:5">
      <c r="E814" s="7"/>
    </row>
    <row r="815" spans="5:5">
      <c r="E815" s="7"/>
    </row>
    <row r="816" spans="5:5">
      <c r="E816" s="7"/>
    </row>
    <row r="817" spans="5:5">
      <c r="E817" s="7"/>
    </row>
    <row r="818" spans="5:5">
      <c r="E818" s="7"/>
    </row>
    <row r="819" spans="5:5">
      <c r="E819" s="7"/>
    </row>
    <row r="820" spans="5:5">
      <c r="E820" s="7"/>
    </row>
    <row r="821" spans="5:5">
      <c r="E821" s="7"/>
    </row>
    <row r="822" spans="5:5">
      <c r="E822" s="7"/>
    </row>
    <row r="823" spans="5:5">
      <c r="E823" s="7"/>
    </row>
    <row r="824" spans="5:5">
      <c r="E824" s="7"/>
    </row>
    <row r="825" spans="5:5">
      <c r="E825" s="7"/>
    </row>
    <row r="826" spans="5:5">
      <c r="E826" s="7"/>
    </row>
    <row r="827" spans="5:5">
      <c r="E827" s="7"/>
    </row>
    <row r="828" spans="5:5">
      <c r="E828" s="7"/>
    </row>
    <row r="829" spans="5:5">
      <c r="E829" s="7"/>
    </row>
    <row r="830" spans="5:5">
      <c r="E830" s="7"/>
    </row>
    <row r="831" spans="5:5">
      <c r="E831" s="7"/>
    </row>
    <row r="832" spans="5:5">
      <c r="E832" s="7"/>
    </row>
    <row r="833" spans="5:5">
      <c r="E833" s="7"/>
    </row>
    <row r="834" spans="5:5">
      <c r="E834" s="7"/>
    </row>
    <row r="835" spans="5:5">
      <c r="E835" s="7"/>
    </row>
    <row r="836" spans="5:5">
      <c r="E836" s="7"/>
    </row>
    <row r="837" spans="5:5">
      <c r="E837" s="7"/>
    </row>
    <row r="838" spans="5:5">
      <c r="E838" s="7"/>
    </row>
    <row r="839" spans="5:5">
      <c r="E839" s="7"/>
    </row>
    <row r="840" spans="5:5">
      <c r="E840" s="7"/>
    </row>
    <row r="841" spans="5:5">
      <c r="E841" s="7"/>
    </row>
    <row r="842" spans="5:5">
      <c r="E842" s="7"/>
    </row>
    <row r="843" spans="5:5">
      <c r="E843" s="7"/>
    </row>
    <row r="844" spans="5:5">
      <c r="E844" s="7"/>
    </row>
    <row r="845" spans="5:5">
      <c r="E845" s="7"/>
    </row>
    <row r="846" spans="5:5">
      <c r="E846" s="7"/>
    </row>
    <row r="847" spans="5:5">
      <c r="E847" s="7"/>
    </row>
    <row r="848" spans="5:5">
      <c r="E848" s="7"/>
    </row>
    <row r="849" spans="5:5">
      <c r="E849" s="7"/>
    </row>
    <row r="850" spans="5:5">
      <c r="E850" s="7"/>
    </row>
    <row r="851" spans="5:5">
      <c r="E851" s="7"/>
    </row>
    <row r="852" spans="5:5">
      <c r="E852" s="7"/>
    </row>
    <row r="853" spans="5:5">
      <c r="E853" s="7"/>
    </row>
    <row r="854" spans="5:5">
      <c r="E854" s="7"/>
    </row>
    <row r="855" spans="5:5">
      <c r="E855" s="7"/>
    </row>
    <row r="856" spans="5:5">
      <c r="E856" s="7"/>
    </row>
    <row r="857" spans="5:5">
      <c r="E857" s="7"/>
    </row>
    <row r="858" spans="5:5">
      <c r="E858" s="7"/>
    </row>
    <row r="859" spans="5:5">
      <c r="E859" s="7"/>
    </row>
    <row r="860" spans="5:5">
      <c r="E860" s="7"/>
    </row>
    <row r="861" spans="5:5">
      <c r="E861" s="7"/>
    </row>
    <row r="862" spans="5:5">
      <c r="E862" s="7"/>
    </row>
    <row r="863" spans="5:5">
      <c r="E863" s="7"/>
    </row>
    <row r="864" spans="5:5">
      <c r="E864" s="7"/>
    </row>
    <row r="865" spans="5:5">
      <c r="E865" s="7"/>
    </row>
  </sheetData>
  <conditionalFormatting sqref="D1">
    <cfRule type="duplicateValues" dxfId="0" priority="336"/>
  </conditionalFormatting>
  <conditionalFormatting sqref="D109">
    <cfRule type="duplicateValues" dxfId="0" priority="47"/>
  </conditionalFormatting>
  <conditionalFormatting sqref="D232">
    <cfRule type="duplicateValues" dxfId="0" priority="83"/>
  </conditionalFormatting>
  <conditionalFormatting sqref="E232">
    <cfRule type="duplicateValues" dxfId="0" priority="81"/>
  </conditionalFormatting>
  <conditionalFormatting sqref="D468">
    <cfRule type="duplicateValues" dxfId="0" priority="109"/>
  </conditionalFormatting>
  <conditionalFormatting sqref="D541">
    <cfRule type="duplicateValues" dxfId="0" priority="39"/>
  </conditionalFormatting>
  <conditionalFormatting sqref="D554">
    <cfRule type="duplicateValues" dxfId="0" priority="33"/>
  </conditionalFormatting>
  <conditionalFormatting sqref="C603:C608">
    <cfRule type="duplicateValues" dxfId="0" priority="9"/>
  </conditionalFormatting>
  <conditionalFormatting sqref="C609:C614">
    <cfRule type="duplicateValues" dxfId="0" priority="6"/>
  </conditionalFormatting>
  <conditionalFormatting sqref="C615:C620">
    <cfRule type="duplicateValues" dxfId="0" priority="3"/>
  </conditionalFormatting>
  <conditionalFormatting sqref="D11:D16">
    <cfRule type="duplicateValues" dxfId="0" priority="260"/>
  </conditionalFormatting>
  <conditionalFormatting sqref="D17:D22">
    <cfRule type="duplicateValues" dxfId="0" priority="259"/>
  </conditionalFormatting>
  <conditionalFormatting sqref="D23:D28">
    <cfRule type="duplicateValues" dxfId="0" priority="258"/>
  </conditionalFormatting>
  <conditionalFormatting sqref="D29:D34">
    <cfRule type="duplicateValues" dxfId="0" priority="257"/>
  </conditionalFormatting>
  <conditionalFormatting sqref="D35:D40">
    <cfRule type="duplicateValues" dxfId="0" priority="256"/>
  </conditionalFormatting>
  <conditionalFormatting sqref="D41:D46">
    <cfRule type="duplicateValues" dxfId="0" priority="112"/>
  </conditionalFormatting>
  <conditionalFormatting sqref="D47:D52">
    <cfRule type="duplicateValues" dxfId="0" priority="255"/>
  </conditionalFormatting>
  <conditionalFormatting sqref="D53:D58">
    <cfRule type="duplicateValues" dxfId="0" priority="87"/>
  </conditionalFormatting>
  <conditionalFormatting sqref="D59:D64">
    <cfRule type="duplicateValues" dxfId="0" priority="43"/>
  </conditionalFormatting>
  <conditionalFormatting sqref="D66:D71">
    <cfRule type="duplicateValues" dxfId="0" priority="248"/>
  </conditionalFormatting>
  <conditionalFormatting sqref="D72:D77">
    <cfRule type="duplicateValues" dxfId="0" priority="247"/>
  </conditionalFormatting>
  <conditionalFormatting sqref="D79:D84">
    <cfRule type="duplicateValues" dxfId="0" priority="244"/>
  </conditionalFormatting>
  <conditionalFormatting sqref="D85:D90">
    <cfRule type="duplicateValues" dxfId="0" priority="242"/>
  </conditionalFormatting>
  <conditionalFormatting sqref="D91:D96">
    <cfRule type="duplicateValues" dxfId="0" priority="243"/>
  </conditionalFormatting>
  <conditionalFormatting sqref="D97:D102">
    <cfRule type="duplicateValues" dxfId="0" priority="241"/>
  </conditionalFormatting>
  <conditionalFormatting sqref="D110:D114">
    <cfRule type="duplicateValues" dxfId="0" priority="46"/>
  </conditionalFormatting>
  <conditionalFormatting sqref="D116:D121">
    <cfRule type="duplicateValues" dxfId="0" priority="231"/>
  </conditionalFormatting>
  <conditionalFormatting sqref="D123:D128">
    <cfRule type="duplicateValues" dxfId="0" priority="228"/>
  </conditionalFormatting>
  <conditionalFormatting sqref="D129:D134">
    <cfRule type="duplicateValues" dxfId="0" priority="227"/>
  </conditionalFormatting>
  <conditionalFormatting sqref="D135:D140">
    <cfRule type="duplicateValues" dxfId="0" priority="226"/>
  </conditionalFormatting>
  <conditionalFormatting sqref="D141:D146">
    <cfRule type="duplicateValues" dxfId="0" priority="225"/>
  </conditionalFormatting>
  <conditionalFormatting sqref="D147:D152">
    <cfRule type="duplicateValues" dxfId="0" priority="224"/>
  </conditionalFormatting>
  <conditionalFormatting sqref="D153:D158">
    <cfRule type="duplicateValues" dxfId="0" priority="223"/>
  </conditionalFormatting>
  <conditionalFormatting sqref="D159:D164">
    <cfRule type="duplicateValues" dxfId="0" priority="222"/>
  </conditionalFormatting>
  <conditionalFormatting sqref="D165:D170">
    <cfRule type="duplicateValues" dxfId="0" priority="221"/>
  </conditionalFormatting>
  <conditionalFormatting sqref="D171:D176">
    <cfRule type="duplicateValues" dxfId="0" priority="220"/>
  </conditionalFormatting>
  <conditionalFormatting sqref="D177:D182">
    <cfRule type="duplicateValues" dxfId="0" priority="219"/>
  </conditionalFormatting>
  <conditionalFormatting sqref="D183:D188">
    <cfRule type="duplicateValues" dxfId="0" priority="218"/>
  </conditionalFormatting>
  <conditionalFormatting sqref="D189:D194">
    <cfRule type="duplicateValues" dxfId="0" priority="217"/>
  </conditionalFormatting>
  <conditionalFormatting sqref="D195:D200">
    <cfRule type="duplicateValues" dxfId="0" priority="216"/>
  </conditionalFormatting>
  <conditionalFormatting sqref="D201:D206">
    <cfRule type="duplicateValues" dxfId="0" priority="215"/>
  </conditionalFormatting>
  <conditionalFormatting sqref="D207:D212">
    <cfRule type="duplicateValues" dxfId="0" priority="214"/>
  </conditionalFormatting>
  <conditionalFormatting sqref="D213:D218">
    <cfRule type="duplicateValues" dxfId="0" priority="213"/>
  </conditionalFormatting>
  <conditionalFormatting sqref="D220:D225">
    <cfRule type="duplicateValues" dxfId="0" priority="196"/>
  </conditionalFormatting>
  <conditionalFormatting sqref="D226:D231">
    <cfRule type="duplicateValues" dxfId="0" priority="195"/>
  </conditionalFormatting>
  <conditionalFormatting sqref="D234:D239">
    <cfRule type="duplicateValues" dxfId="0" priority="192"/>
  </conditionalFormatting>
  <conditionalFormatting sqref="D240:D245">
    <cfRule type="duplicateValues" dxfId="0" priority="191"/>
  </conditionalFormatting>
  <conditionalFormatting sqref="D246:D251">
    <cfRule type="duplicateValues" dxfId="0" priority="190"/>
  </conditionalFormatting>
  <conditionalFormatting sqref="D252:D257">
    <cfRule type="duplicateValues" dxfId="0" priority="189"/>
  </conditionalFormatting>
  <conditionalFormatting sqref="D258:D263">
    <cfRule type="duplicateValues" dxfId="0" priority="188"/>
  </conditionalFormatting>
  <conditionalFormatting sqref="D264:D269">
    <cfRule type="duplicateValues" dxfId="0" priority="187"/>
  </conditionalFormatting>
  <conditionalFormatting sqref="D270:D275">
    <cfRule type="duplicateValues" dxfId="0" priority="186"/>
  </conditionalFormatting>
  <conditionalFormatting sqref="D276:D281">
    <cfRule type="duplicateValues" dxfId="0" priority="185"/>
  </conditionalFormatting>
  <conditionalFormatting sqref="D282:D287">
    <cfRule type="duplicateValues" dxfId="0" priority="184"/>
  </conditionalFormatting>
  <conditionalFormatting sqref="D288:D293">
    <cfRule type="duplicateValues" dxfId="0" priority="183"/>
  </conditionalFormatting>
  <conditionalFormatting sqref="D294:D299">
    <cfRule type="duplicateValues" dxfId="0" priority="182"/>
  </conditionalFormatting>
  <conditionalFormatting sqref="D300:D305">
    <cfRule type="duplicateValues" dxfId="0" priority="181"/>
  </conditionalFormatting>
  <conditionalFormatting sqref="D306:D311">
    <cfRule type="duplicateValues" dxfId="0" priority="180"/>
  </conditionalFormatting>
  <conditionalFormatting sqref="D312:D317">
    <cfRule type="duplicateValues" dxfId="0" priority="179"/>
  </conditionalFormatting>
  <conditionalFormatting sqref="D318:D323">
    <cfRule type="duplicateValues" dxfId="0" priority="178"/>
  </conditionalFormatting>
  <conditionalFormatting sqref="D324:D329">
    <cfRule type="duplicateValues" dxfId="0" priority="177"/>
  </conditionalFormatting>
  <conditionalFormatting sqref="D330:D335">
    <cfRule type="duplicateValues" dxfId="0" priority="176"/>
  </conditionalFormatting>
  <conditionalFormatting sqref="D336:D341">
    <cfRule type="duplicateValues" dxfId="0" priority="175"/>
  </conditionalFormatting>
  <conditionalFormatting sqref="D342:D347">
    <cfRule type="duplicateValues" dxfId="0" priority="174"/>
  </conditionalFormatting>
  <conditionalFormatting sqref="D348:D353">
    <cfRule type="duplicateValues" dxfId="0" priority="173"/>
  </conditionalFormatting>
  <conditionalFormatting sqref="D354:D359">
    <cfRule type="duplicateValues" dxfId="0" priority="172"/>
  </conditionalFormatting>
  <conditionalFormatting sqref="D360:D365">
    <cfRule type="duplicateValues" dxfId="0" priority="171"/>
  </conditionalFormatting>
  <conditionalFormatting sqref="D366:D371">
    <cfRule type="duplicateValues" dxfId="0" priority="170"/>
  </conditionalFormatting>
  <conditionalFormatting sqref="D372:D377">
    <cfRule type="duplicateValues" dxfId="0" priority="169"/>
  </conditionalFormatting>
  <conditionalFormatting sqref="D378:D383">
    <cfRule type="duplicateValues" dxfId="0" priority="168"/>
  </conditionalFormatting>
  <conditionalFormatting sqref="D384:D389">
    <cfRule type="duplicateValues" dxfId="0" priority="167"/>
  </conditionalFormatting>
  <conditionalFormatting sqref="D390:D395">
    <cfRule type="duplicateValues" dxfId="0" priority="166"/>
  </conditionalFormatting>
  <conditionalFormatting sqref="D396:D401">
    <cfRule type="duplicateValues" dxfId="0" priority="165"/>
  </conditionalFormatting>
  <conditionalFormatting sqref="D402:D407">
    <cfRule type="duplicateValues" dxfId="0" priority="164"/>
  </conditionalFormatting>
  <conditionalFormatting sqref="D408:D413">
    <cfRule type="duplicateValues" dxfId="0" priority="163"/>
  </conditionalFormatting>
  <conditionalFormatting sqref="D414:D419">
    <cfRule type="duplicateValues" dxfId="0" priority="162"/>
  </conditionalFormatting>
  <conditionalFormatting sqref="D420:D425">
    <cfRule type="duplicateValues" dxfId="0" priority="161"/>
  </conditionalFormatting>
  <conditionalFormatting sqref="D426:D431">
    <cfRule type="duplicateValues" dxfId="0" priority="160"/>
  </conditionalFormatting>
  <conditionalFormatting sqref="D432:D437">
    <cfRule type="duplicateValues" dxfId="0" priority="159"/>
  </conditionalFormatting>
  <conditionalFormatting sqref="D438:D443">
    <cfRule type="duplicateValues" dxfId="0" priority="158"/>
  </conditionalFormatting>
  <conditionalFormatting sqref="D444:D449">
    <cfRule type="duplicateValues" dxfId="0" priority="157"/>
  </conditionalFormatting>
  <conditionalFormatting sqref="D450:D455">
    <cfRule type="duplicateValues" dxfId="0" priority="156"/>
  </conditionalFormatting>
  <conditionalFormatting sqref="D456:D461">
    <cfRule type="duplicateValues" dxfId="0" priority="155"/>
  </conditionalFormatting>
  <conditionalFormatting sqref="D469:D474">
    <cfRule type="duplicateValues" dxfId="0" priority="108"/>
  </conditionalFormatting>
  <conditionalFormatting sqref="D475:D480">
    <cfRule type="duplicateValues" dxfId="0" priority="105"/>
  </conditionalFormatting>
  <conditionalFormatting sqref="D481:D486">
    <cfRule type="duplicateValues" dxfId="0" priority="102"/>
  </conditionalFormatting>
  <conditionalFormatting sqref="D487:D492">
    <cfRule type="duplicateValues" dxfId="0" priority="99"/>
  </conditionalFormatting>
  <conditionalFormatting sqref="D493:D498">
    <cfRule type="duplicateValues" dxfId="0" priority="80"/>
  </conditionalFormatting>
  <conditionalFormatting sqref="D499:D504">
    <cfRule type="duplicateValues" dxfId="0" priority="72"/>
  </conditionalFormatting>
  <conditionalFormatting sqref="D505:D510">
    <cfRule type="duplicateValues" dxfId="0" priority="76"/>
  </conditionalFormatting>
  <conditionalFormatting sqref="D511:D516">
    <cfRule type="duplicateValues" dxfId="0" priority="64"/>
  </conditionalFormatting>
  <conditionalFormatting sqref="D517:D522">
    <cfRule type="duplicateValues" dxfId="0" priority="68"/>
  </conditionalFormatting>
  <conditionalFormatting sqref="D523:D528">
    <cfRule type="duplicateValues" dxfId="0" priority="56"/>
  </conditionalFormatting>
  <conditionalFormatting sqref="D529:D534">
    <cfRule type="duplicateValues" dxfId="0" priority="60"/>
  </conditionalFormatting>
  <conditionalFormatting sqref="D535:D540">
    <cfRule type="duplicateValues" dxfId="0" priority="51"/>
  </conditionalFormatting>
  <conditionalFormatting sqref="D542:D547">
    <cfRule type="duplicateValues" dxfId="0" priority="38"/>
  </conditionalFormatting>
  <conditionalFormatting sqref="D548:D553">
    <cfRule type="duplicateValues" dxfId="0" priority="36"/>
  </conditionalFormatting>
  <conditionalFormatting sqref="D555:D560">
    <cfRule type="duplicateValues" dxfId="0" priority="32"/>
  </conditionalFormatting>
  <conditionalFormatting sqref="D561:D566">
    <cfRule type="duplicateValues" dxfId="0" priority="30"/>
  </conditionalFormatting>
  <conditionalFormatting sqref="D567:D572">
    <cfRule type="duplicateValues" dxfId="0" priority="18"/>
  </conditionalFormatting>
  <conditionalFormatting sqref="D573:D578">
    <cfRule type="duplicateValues" dxfId="0" priority="15"/>
  </conditionalFormatting>
  <conditionalFormatting sqref="D579:D584">
    <cfRule type="duplicateValues" dxfId="0" priority="12"/>
  </conditionalFormatting>
  <conditionalFormatting sqref="D585:D590">
    <cfRule type="duplicateValues" dxfId="0" priority="27"/>
  </conditionalFormatting>
  <conditionalFormatting sqref="D591:D596">
    <cfRule type="duplicateValues" dxfId="0" priority="24"/>
  </conditionalFormatting>
  <conditionalFormatting sqref="D597:D602">
    <cfRule type="duplicateValues" dxfId="0" priority="21"/>
  </conditionalFormatting>
  <conditionalFormatting sqref="D603:D608">
    <cfRule type="duplicateValues" dxfId="0" priority="8"/>
  </conditionalFormatting>
  <conditionalFormatting sqref="D609:D614">
    <cfRule type="duplicateValues" dxfId="0" priority="5"/>
  </conditionalFormatting>
  <conditionalFormatting sqref="D615:D620">
    <cfRule type="duplicateValues" dxfId="0" priority="2"/>
  </conditionalFormatting>
  <conditionalFormatting sqref="E41:E46">
    <cfRule type="duplicateValues" dxfId="0" priority="110"/>
  </conditionalFormatting>
  <conditionalFormatting sqref="E53:E58">
    <cfRule type="duplicateValues" dxfId="0" priority="85"/>
  </conditionalFormatting>
  <conditionalFormatting sqref="E59:E64">
    <cfRule type="duplicateValues" dxfId="0" priority="41"/>
  </conditionalFormatting>
  <conditionalFormatting sqref="E109:E114">
    <cfRule type="duplicateValues" dxfId="0" priority="44"/>
  </conditionalFormatting>
  <conditionalFormatting sqref="E468:E474">
    <cfRule type="duplicateValues" dxfId="0" priority="106"/>
  </conditionalFormatting>
  <conditionalFormatting sqref="E475:E480">
    <cfRule type="duplicateValues" dxfId="0" priority="103"/>
  </conditionalFormatting>
  <conditionalFormatting sqref="E481:E486">
    <cfRule type="duplicateValues" dxfId="0" priority="100"/>
  </conditionalFormatting>
  <conditionalFormatting sqref="E487:E492">
    <cfRule type="duplicateValues" dxfId="0" priority="97"/>
  </conditionalFormatting>
  <conditionalFormatting sqref="E493:E498">
    <cfRule type="duplicateValues" dxfId="0" priority="78"/>
  </conditionalFormatting>
  <conditionalFormatting sqref="E499:E504">
    <cfRule type="duplicateValues" dxfId="0" priority="70"/>
  </conditionalFormatting>
  <conditionalFormatting sqref="E505:E510">
    <cfRule type="duplicateValues" dxfId="0" priority="74"/>
  </conditionalFormatting>
  <conditionalFormatting sqref="E511:E516">
    <cfRule type="duplicateValues" dxfId="0" priority="62"/>
  </conditionalFormatting>
  <conditionalFormatting sqref="E517:E522">
    <cfRule type="duplicateValues" dxfId="0" priority="66"/>
  </conditionalFormatting>
  <conditionalFormatting sqref="E523:E528">
    <cfRule type="duplicateValues" dxfId="0" priority="54"/>
  </conditionalFormatting>
  <conditionalFormatting sqref="E529:E534">
    <cfRule type="duplicateValues" dxfId="0" priority="58"/>
  </conditionalFormatting>
  <conditionalFormatting sqref="E535:E540">
    <cfRule type="duplicateValues" dxfId="0" priority="49"/>
  </conditionalFormatting>
  <conditionalFormatting sqref="E541:E547">
    <cfRule type="duplicateValues" dxfId="0" priority="37"/>
  </conditionalFormatting>
  <conditionalFormatting sqref="E548:E553">
    <cfRule type="duplicateValues" dxfId="0" priority="35"/>
  </conditionalFormatting>
  <conditionalFormatting sqref="E554:E560">
    <cfRule type="duplicateValues" dxfId="0" priority="31"/>
  </conditionalFormatting>
  <conditionalFormatting sqref="E561:E566">
    <cfRule type="duplicateValues" dxfId="0" priority="29"/>
  </conditionalFormatting>
  <conditionalFormatting sqref="E567:E572">
    <cfRule type="duplicateValues" dxfId="0" priority="17"/>
  </conditionalFormatting>
  <conditionalFormatting sqref="E573:E578">
    <cfRule type="duplicateValues" dxfId="0" priority="14"/>
  </conditionalFormatting>
  <conditionalFormatting sqref="E579:E584">
    <cfRule type="duplicateValues" dxfId="0" priority="11"/>
  </conditionalFormatting>
  <conditionalFormatting sqref="E585:E590">
    <cfRule type="duplicateValues" dxfId="0" priority="26"/>
  </conditionalFormatting>
  <conditionalFormatting sqref="E591:E596">
    <cfRule type="duplicateValues" dxfId="0" priority="23"/>
  </conditionalFormatting>
  <conditionalFormatting sqref="E597:E602">
    <cfRule type="duplicateValues" dxfId="0" priority="20"/>
  </conditionalFormatting>
  <conditionalFormatting sqref="E603:E608">
    <cfRule type="duplicateValues" dxfId="0" priority="7"/>
  </conditionalFormatting>
  <conditionalFormatting sqref="E609:E614">
    <cfRule type="duplicateValues" dxfId="0" priority="4"/>
  </conditionalFormatting>
  <conditionalFormatting sqref="E615:E620">
    <cfRule type="duplicateValues" dxfId="0" priority="1"/>
  </conditionalFormatting>
  <conditionalFormatting sqref="C1:C602;C621:C1048576">
    <cfRule type="duplicateValues" dxfId="0" priority="40"/>
  </conditionalFormatting>
  <conditionalFormatting sqref="E1:E40;E47:E52;E65:E108;E233:E467;E115:E231;E621:E1048576">
    <cfRule type="duplicateValues" dxfId="0" priority="113"/>
  </conditionalFormatting>
  <conditionalFormatting sqref="D2:D10;D65;D122;D462:D467;D233;D78;D103;D219;D621:D1048576">
    <cfRule type="duplicateValues" dxfId="0" priority="338"/>
  </conditionalFormatting>
  <conditionalFormatting sqref="D104:D108;D115">
    <cfRule type="duplicateValues" dxfId="0" priority="232"/>
  </conditionalFormatting>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B33" sqref="B33"/>
    </sheetView>
  </sheetViews>
  <sheetFormatPr defaultColWidth="9" defaultRowHeight="13.8"/>
  <sheetData>
    <row r="1" ht="14.4" spans="1:1">
      <c r="A1" s="5" t="s">
        <v>373</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D23"/>
  <sheetViews>
    <sheetView workbookViewId="0">
      <selection activeCell="B33" sqref="B33"/>
    </sheetView>
  </sheetViews>
  <sheetFormatPr defaultColWidth="9" defaultRowHeight="15" outlineLevelCol="3"/>
  <cols>
    <col min="1" max="1" width="64.625" style="1" customWidth="1"/>
    <col min="2" max="2" width="74" style="1" customWidth="1"/>
    <col min="3" max="16384" width="9" style="1"/>
  </cols>
  <sheetData>
    <row r="2" spans="1:4">
      <c r="A2" s="1" t="s">
        <v>374</v>
      </c>
      <c r="B2" s="1" t="s">
        <v>375</v>
      </c>
      <c r="D2" s="1" t="s">
        <v>376</v>
      </c>
    </row>
    <row r="4" spans="1:4">
      <c r="A4" s="2"/>
      <c r="B4" s="1" t="s">
        <v>377</v>
      </c>
      <c r="D4" s="1" t="s">
        <v>378</v>
      </c>
    </row>
    <row r="5" spans="1:4">
      <c r="A5" s="3" t="s">
        <v>379</v>
      </c>
      <c r="B5" s="1" t="s">
        <v>380</v>
      </c>
      <c r="D5" s="1" t="s">
        <v>381</v>
      </c>
    </row>
    <row r="6" spans="1:4">
      <c r="A6" s="3" t="s">
        <v>382</v>
      </c>
      <c r="B6" s="1" t="s">
        <v>383</v>
      </c>
      <c r="D6" s="1" t="s">
        <v>384</v>
      </c>
    </row>
    <row r="7" spans="1:4">
      <c r="A7" s="3"/>
      <c r="B7" s="1" t="s">
        <v>385</v>
      </c>
      <c r="D7" s="1" t="s">
        <v>386</v>
      </c>
    </row>
    <row r="8" spans="1:4">
      <c r="A8" s="3" t="s">
        <v>387</v>
      </c>
      <c r="B8" s="1" t="s">
        <v>112</v>
      </c>
      <c r="D8" s="1" t="s">
        <v>388</v>
      </c>
    </row>
    <row r="9" spans="1:4">
      <c r="A9" s="3" t="s">
        <v>389</v>
      </c>
      <c r="B9" s="1" t="s">
        <v>390</v>
      </c>
      <c r="D9" s="1" t="s">
        <v>391</v>
      </c>
    </row>
    <row r="10" spans="1:4">
      <c r="A10" s="2"/>
      <c r="B10" s="1" t="s">
        <v>392</v>
      </c>
      <c r="D10" s="1" t="s">
        <v>393</v>
      </c>
    </row>
    <row r="11" spans="1:4">
      <c r="A11" s="2"/>
      <c r="B11" s="1" t="s">
        <v>394</v>
      </c>
      <c r="D11" s="1" t="s">
        <v>395</v>
      </c>
    </row>
    <row r="12" spans="1:4">
      <c r="A12" s="2"/>
      <c r="B12" s="1" t="s">
        <v>396</v>
      </c>
      <c r="D12" s="1" t="s">
        <v>397</v>
      </c>
    </row>
    <row r="13" spans="1:4">
      <c r="A13" s="2"/>
      <c r="B13" s="1" t="s">
        <v>398</v>
      </c>
      <c r="D13" s="1" t="s">
        <v>399</v>
      </c>
    </row>
    <row r="14" spans="1:4">
      <c r="A14" s="3"/>
      <c r="B14" s="1" t="s">
        <v>400</v>
      </c>
      <c r="D14" s="1" t="s">
        <v>401</v>
      </c>
    </row>
    <row r="15" spans="1:4">
      <c r="A15" s="3"/>
      <c r="B15" s="1" t="s">
        <v>117</v>
      </c>
      <c r="D15" s="1" t="s">
        <v>402</v>
      </c>
    </row>
    <row r="16" spans="1:4">
      <c r="A16" s="3"/>
      <c r="D16" s="1" t="s">
        <v>403</v>
      </c>
    </row>
    <row r="17" spans="1:4">
      <c r="A17" s="3"/>
      <c r="D17" s="1" t="s">
        <v>404</v>
      </c>
    </row>
    <row r="18" spans="1:4">
      <c r="A18" s="3"/>
      <c r="D18" s="1" t="s">
        <v>405</v>
      </c>
    </row>
    <row r="19" spans="1:4">
      <c r="D19" s="1" t="s">
        <v>406</v>
      </c>
    </row>
    <row r="20" spans="1:4">
      <c r="A20" s="4"/>
      <c r="D20" s="1" t="s">
        <v>407</v>
      </c>
    </row>
    <row r="21" spans="1:4">
      <c r="D21" s="1" t="s">
        <v>408</v>
      </c>
    </row>
    <row r="22" spans="1:4">
      <c r="D22" s="1" t="s">
        <v>409</v>
      </c>
    </row>
    <row r="23" spans="1:4">
      <c r="D23" s="1" t="s">
        <v>410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index</vt:lpstr>
      <vt:lpstr>&lt;head&gt; Indice</vt:lpstr>
      <vt:lpstr>&lt;!--  Principal  --&gt; Indice</vt:lpstr>
      <vt:lpstr>&lt;head&gt;</vt:lpstr>
      <vt:lpstr>&lt;!--  Principal  --&gt;</vt:lpstr>
      <vt:lpstr>&lt;h3&gt;</vt:lpstr>
      <vt:lpstr>&lt;ul&gt;</vt:lpstr>
      <vt:lpstr>sitemap.xml</vt:lpstr>
      <vt:lpstr>script</vt:lpstr>
      <vt:lpstr>Plantillas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H. Forero</dc:creator>
  <cp:lastModifiedBy>Eduardo Herrera Forero</cp:lastModifiedBy>
  <dcterms:created xsi:type="dcterms:W3CDTF">2024-03-07T16:53:00Z</dcterms:created>
  <dcterms:modified xsi:type="dcterms:W3CDTF">2026-09-08T01:17:59Z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679F8D45FF024A13BA7FE566B66CF172_13</vt:lpwstr>
  </property>
  <property fmtid="{D5CDD505-2E9C-101B-9397-08002B2CF9AE}" pid="3" name="KSOProductBuildVer">
    <vt:lpwstr>3082-12.1.0.28485</vt:lpwstr>
  </property>
  <property fmtid="{D5CDD505-2E9C-101B-9397-08002B2CF9AE}" pid="4" name="CalculationRule">
    <vt:i4>0</vt:i4>
  </property>
</Properties>
</file>